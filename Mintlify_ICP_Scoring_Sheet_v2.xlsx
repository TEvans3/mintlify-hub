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CP Account Scoring" sheetId="1" state="visible" r:id="rId3"/>
    <sheet name="_Lookup" sheetId="2" state="hidden" r:id="rId4"/>
    <sheet name="Scoring Guide" sheetId="3" state="visible" r:id="rId5"/>
    <sheet name="LinkedIn Sales Nav Filter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<sst xmlns="http://schemas.openxmlformats.org/spreadsheetml/2006/main" count="398" uniqueCount="258">
  <si>
    <t xml:space="preserve">MINTLIFY  |  ENTERPRISE ICP SCORING SHEET  v2</t>
  </si>
  <si>
    <t xml:space="preserve">Pick a dropdown option in columns F–J. Score calculates automatically. No math required.</t>
  </si>
  <si>
    <t xml:space="preserve">🟢  TIER 1  |  80–100  →  Sprint. Move within 48 hrs.</t>
  </si>
  <si>
    <t xml:space="preserve">🟡  TIER 2  |  60–79  →  Active pipeline. Build sequences.</t>
  </si>
  <si>
    <t xml:space="preserve">⚪  TIER 3  |  40–59  →  Monitor. Revisit in 60 days.</t>
  </si>
  <si>
    <t xml:space="preserve">🔴  DEPRIORITIZE  |  &lt;40  →  No event. Move on.</t>
  </si>
  <si>
    <t xml:space="preserve">HOW TO SCORE:  ① Research the account (see Scoring Guide tab for exactly what to look up). ② Click the dropdown in each orange column. ③ Pick the description that best matches. ④ Total score and Tier auto-fill.</t>
  </si>
  <si>
    <t xml:space="preserve">ACCOUNT
NAME</t>
  </si>
  <si>
    <t xml:space="preserve">VERTICAL</t>
  </si>
  <si>
    <t xml:space="preserve">HQ</t>
  </si>
  <si>
    <t xml:space="preserve">EMP.
COUNT</t>
  </si>
  <si>
    <t xml:space="preserve">ECONOMIC BUYER
NAME / TITLE</t>
  </si>
  <si>
    <t xml:space="preserve">① COMPANY FIT
(auto: 0–20)
▼ dropdown</t>
  </si>
  <si>
    <t xml:space="preserve">② DOC PAIN
SIGNALS
(auto: 0–20)
▼ dropdown</t>
  </si>
  <si>
    <t xml:space="preserve">③ TRIGGER /
WHY NOW
(auto: 0–25)
▼ dropdown</t>
  </si>
  <si>
    <t xml:space="preserve">④ AI STRATEGY
RISK
(auto: 0–20)
▼ dropdown</t>
  </si>
  <si>
    <t xml:space="preserve">⑤ ACCESS &amp;
DEAL DYNAMICS
(auto: 0–15)
▼ dropdown</t>
  </si>
  <si>
    <t xml:space="preserve">TOTAL
SCORE</t>
  </si>
  <si>
    <t xml:space="preserve">TIER</t>
  </si>
  <si>
    <t xml:space="preserve">CURRENT
DOC TOOL</t>
  </si>
  <si>
    <t xml:space="preserve">IN OR
OUT</t>
  </si>
  <si>
    <t xml:space="preserve">TRIGGER DETAIL
(notes)</t>
  </si>
  <si>
    <t xml:space="preserve">CHAMPION
IDENTIFIED?</t>
  </si>
  <si>
    <t xml:space="preserve">PROOF POINT
TO USE</t>
  </si>
  <si>
    <t xml:space="preserve">NEXT ACTION</t>
  </si>
  <si>
    <t xml:space="preserve">LAST
UPDATED</t>
  </si>
  <si>
    <t xml:space="preserve">Brex</t>
  </si>
  <si>
    <t xml:space="preserve">FinTech</t>
  </si>
  <si>
    <t xml:space="preserve">New York, NY</t>
  </si>
  <si>
    <t xml:space="preserve">1,200</t>
  </si>
  <si>
    <t xml:space="preserve">VP Engineering / CTO</t>
  </si>
  <si>
    <t xml:space="preserve">AI/ML or FinTech — developer-facing API product</t>
  </si>
  <si>
    <t xml:space="preserve">Confluence / SharePoint / Homegrown + external docs + visibly stale</t>
  </si>
  <si>
    <t xml:space="preserve">Active API launch, developer portal rebuild, or Series B+ funding</t>
  </si>
  <si>
    <t xml:space="preserve">Board-level AI mandate — knowledge infrastructure is a dependency</t>
  </si>
  <si>
    <t xml:space="preserve">Cold outbound — contact identified, no existing relationship</t>
  </si>
  <si>
    <t xml:space="preserve">Notion / homegrown</t>
  </si>
  <si>
    <t xml:space="preserve">Outbound</t>
  </si>
  <si>
    <t xml:space="preserve">Scaling API product; developer portal refresh underway</t>
  </si>
  <si>
    <t xml:space="preserve">TBD</t>
  </si>
  <si>
    <t xml:space="preserve">Coinbase (20 min → 60 sec)</t>
  </si>
  <si>
    <t xml:space="preserve">Research doc staleness. Outbound via LinkedIn cold email.</t>
  </si>
  <si>
    <t xml:space="preserve">Pre-start</t>
  </si>
  <si>
    <t xml:space="preserve">Plaid</t>
  </si>
  <si>
    <t xml:space="preserve">San Francisco, CA</t>
  </si>
  <si>
    <t xml:space="preserve">1,500</t>
  </si>
  <si>
    <t xml:space="preserve">VP Engineering</t>
  </si>
  <si>
    <t xml:space="preserve">ReadMe — incumbent API docs tool</t>
  </si>
  <si>
    <t xml:space="preserve">AI/ML company or public AI roadmap announced</t>
  </si>
  <si>
    <t xml:space="preserve">ReadMe</t>
  </si>
  <si>
    <t xml:space="preserve">Heavy API developer community; recent product expansion</t>
  </si>
  <si>
    <t xml:space="preserve">Coinbase (20 min → 60 sec) + Fidelity (uptime)</t>
  </si>
  <si>
    <t xml:space="preserve">Check ReadMe contract renewal cycle.</t>
  </si>
  <si>
    <t xml:space="preserve">Perplexity AI</t>
  </si>
  <si>
    <t xml:space="preserve">AI / ML</t>
  </si>
  <si>
    <t xml:space="preserve">500</t>
  </si>
  <si>
    <t xml:space="preserve">CTO / VP Engineering</t>
  </si>
  <si>
    <t xml:space="preserve">Notion or GitBook — external developer docs present</t>
  </si>
  <si>
    <t xml:space="preserve">AI initiative, internal copilot, or agent product announced</t>
  </si>
  <si>
    <t xml:space="preserve">Building AI agents or copilots that query documentation</t>
  </si>
  <si>
    <t xml:space="preserve">GitBook / homegrown</t>
  </si>
  <si>
    <t xml:space="preserve">Rapid growth; developer API launch; AI-native company</t>
  </si>
  <si>
    <t xml:space="preserve">Anthropic (LLMs.txt + AI-native narrative)</t>
  </si>
  <si>
    <t xml:space="preserve">Below 2k employees — exception account. High ICP fit.</t>
  </si>
  <si>
    <t xml:space="preserve">Retool</t>
  </si>
  <si>
    <t xml:space="preserve">Developer Tools</t>
  </si>
  <si>
    <t xml:space="preserve">600</t>
  </si>
  <si>
    <t xml:space="preserve">Developer Tools / Infrastructure company</t>
  </si>
  <si>
    <t xml:space="preserve">Hiring for docs, DevRel, or Developer Experience roles (last 60 days)</t>
  </si>
  <si>
    <t xml:space="preserve">PLG or SaaS with AI features in development — docs readiness unclear</t>
  </si>
  <si>
    <t xml:space="preserve">Notion / Confluence</t>
  </si>
  <si>
    <t xml:space="preserve">Selling to developers; docs are part of their product</t>
  </si>
  <si>
    <t xml:space="preserve">Coinbase + Layers (40–60 hrs/month)</t>
  </si>
  <si>
    <t xml:space="preserve">Dev tools ICP. Docs are their product, not a support function.</t>
  </si>
  <si>
    <t xml:space="preserve">Vercel</t>
  </si>
  <si>
    <t xml:space="preserve">Docs visibly stale vs. GitHub/release cadence</t>
  </si>
  <si>
    <t xml:space="preserve">Custom / homegrown</t>
  </si>
  <si>
    <t xml:space="preserve">Shipping at high velocity; developer community critical</t>
  </si>
  <si>
    <t xml:space="preserve">Coinbase (velocity) + Zapier (3x faster)</t>
  </si>
  <si>
    <t xml:space="preserve">Public docs visibly lag engineering cadence.</t>
  </si>
  <si>
    <t xml:space="preserve">Broadridge</t>
  </si>
  <si>
    <t xml:space="preserve">FinTech / Enterprise</t>
  </si>
  <si>
    <t xml:space="preserve">14,000</t>
  </si>
  <si>
    <t xml:space="preserve">Enterprise Tech — AI mandate, 5,000+ employees</t>
  </si>
  <si>
    <t xml:space="preserve">Confluence / SharePoint / Homegrown — docs status unknown</t>
  </si>
  <si>
    <t xml:space="preserve">Confluence / SharePoint</t>
  </si>
  <si>
    <t xml:space="preserve">AI transformation mandate; legacy documentation infrastructure</t>
  </si>
  <si>
    <t xml:space="preserve">AT&amp;T/LevelBlue (enterprise legacy) + Fidelity (uptime)</t>
  </si>
  <si>
    <t xml:space="preserve">NYC-based. Long cycle but high ACV potential. Multi-thread early.</t>
  </si>
  <si>
    <t xml:space="preserve">Figma</t>
  </si>
  <si>
    <t xml:space="preserve">Dev Tools / SaaS</t>
  </si>
  <si>
    <t xml:space="preserve">1,400</t>
  </si>
  <si>
    <t xml:space="preserve">VP Engineering / Head of DevRel</t>
  </si>
  <si>
    <t xml:space="preserve">Confluence / SharePoint / Homegrown + external docs present</t>
  </si>
  <si>
    <t xml:space="preserve">Notion / custom</t>
  </si>
  <si>
    <t xml:space="preserve">Plugin API ecosystem growing; developer community critical</t>
  </si>
  <si>
    <t xml:space="preserve">Coinbase (API velocity) + Layers (hours)</t>
  </si>
  <si>
    <t xml:space="preserve">Plugin API docs are their developer growth lever.</t>
  </si>
  <si>
    <t xml:space="preserve">Nuvei</t>
  </si>
  <si>
    <t xml:space="preserve">Montreal, Canada</t>
  </si>
  <si>
    <t xml:space="preserve">2,400</t>
  </si>
  <si>
    <t xml:space="preserve">Confluence</t>
  </si>
  <si>
    <t xml:space="preserve">Global payments API expansion; developer onboarding core to GTM</t>
  </si>
  <si>
    <t xml:space="preserve">Coinbase (FinTech API) + Fidelity (compliance)</t>
  </si>
  <si>
    <t xml:space="preserve">Payments API. Confluence is likely the incumbent.</t>
  </si>
  <si>
    <t xml:space="preserve">Zapier</t>
  </si>
  <si>
    <t xml:space="preserve">SaaS / PLG</t>
  </si>
  <si>
    <t xml:space="preserve">Remote</t>
  </si>
  <si>
    <t xml:space="preserve">800</t>
  </si>
  <si>
    <t xml:space="preserve">SaaS or PLG — 500+ engineer org</t>
  </si>
  <si>
    <t xml:space="preserve">Integration-heavy; developer-facing API docs</t>
  </si>
  <si>
    <t xml:space="preserve">HubSpot (50% eng reduction)</t>
  </si>
  <si>
    <t xml:space="preserve">Verify if already a Mintlify customer before outbound.</t>
  </si>
  <si>
    <t xml:space="preserve">Bloomberg</t>
  </si>
  <si>
    <t xml:space="preserve">Enterprise Tech / FinTech</t>
  </si>
  <si>
    <t xml:space="preserve">22,000</t>
  </si>
  <si>
    <t xml:space="preserve">Cold outbound — no contact identified yet</t>
  </si>
  <si>
    <t xml:space="preserve">Confluence / internal</t>
  </si>
  <si>
    <t xml:space="preserve">B-Unit developer API; AI platform initiatives; legacy doc infra</t>
  </si>
  <si>
    <t xml:space="preserve">AT&amp;T/LevelBlue + Fidelity</t>
  </si>
  <si>
    <t xml:space="preserve">Long cycle. NYC-based. Multi-thread from day 1.</t>
  </si>
  <si>
    <t xml:space="preserve">Add Account</t>
  </si>
  <si>
    <t xml:space="preserve">General SaaS — some developer-facing components</t>
  </si>
  <si>
    <t xml:space="preserve">Poor fit — minimal API or engineering exposure</t>
  </si>
  <si>
    <t xml:space="preserve">Current tool unknown — research needed</t>
  </si>
  <si>
    <t xml:space="preserve">New CTO or VP Eng hired in last 90 days</t>
  </si>
  <si>
    <t xml:space="preserve">Named account — no specific trigger identified yet</t>
  </si>
  <si>
    <t xml:space="preserve">No trigger — status quo appears comfortable</t>
  </si>
  <si>
    <t xml:space="preserve">AI-aware but no documentation dependency identified</t>
  </si>
  <si>
    <t xml:space="preserve">No AI strategy signal</t>
  </si>
  <si>
    <t xml:space="preserve">Inbound interest + Champion with confirmed EB access</t>
  </si>
  <si>
    <t xml:space="preserve">Inbound interest + contact identified (champion status unconfirmed)</t>
  </si>
  <si>
    <t xml:space="preserve">Warm intro or referral available + contact identified</t>
  </si>
  <si>
    <t xml:space="preserve">MINTLIFY ICP SCORING GUIDE  |  What to Pick + How to Research It</t>
  </si>
  <si>
    <t xml:space="preserve">Each section below covers one scoring column.  PART A = what each dropdown option means and what score it carries.  PART B = exactly what to research and where to find it before scoring.</t>
  </si>
  <si>
    <t xml:space="preserve">COLUMN F  ·  COMPANY FIT  ·  Max 20 pts</t>
  </si>
  <si>
    <t xml:space="preserve">  PART A — DROPDOWN OPTIONS  |  Pick the description that best matches your research</t>
  </si>
  <si>
    <t xml:space="preserve">DROPDOWN OPTION TEXT (copy this exactly)</t>
  </si>
  <si>
    <t xml:space="preserve">POINTS ASSIGNED</t>
  </si>
  <si>
    <t xml:space="preserve">  "AI/ML or FinTech — developer-facing API product"</t>
  </si>
  <si>
    <t xml:space="preserve">  "Developer Tools / Infrastructure company"</t>
  </si>
  <si>
    <t xml:space="preserve">  "SaaS or PLG — 500+ engineer org"</t>
  </si>
  <si>
    <t xml:space="preserve">  "Enterprise Tech — AI mandate, 5,000+ employees"</t>
  </si>
  <si>
    <t xml:space="preserve">  "General SaaS — some developer-facing components"</t>
  </si>
  <si>
    <t xml:space="preserve">  "Poor fit — minimal API or engineering exposure"</t>
  </si>
  <si>
    <t xml:space="preserve">  PART B — RESEARCH ACTIONS  |  Do these steps before scoring this column</t>
  </si>
  <si>
    <t xml:space="preserve">STEP</t>
  </si>
  <si>
    <t xml:space="preserve">ACTION</t>
  </si>
  <si>
    <t xml:space="preserve">WHERE TO LOOK / WHAT TO CHECK</t>
  </si>
  <si>
    <t xml:space="preserve">1</t>
  </si>
  <si>
    <t xml:space="preserve">Confirm headcount</t>
  </si>
  <si>
    <t xml:space="preserve">Go to their LinkedIn company page → About section → Employee count. Adjust score up if 500+ engineers specifically (check job titles filter).</t>
  </si>
  <si>
    <t xml:space="preserve">2</t>
  </si>
  <si>
    <t xml:space="preserve">Identify their vertical</t>
  </si>
  <si>
    <t xml:space="preserve">Usually clear from homepage. FinTech = financial API or payments product. AI/ML = LLM or AI-first product. Dev Tools = selling to developers directly.</t>
  </si>
  <si>
    <t xml:space="preserve">3</t>
  </si>
  <si>
    <t xml:space="preserve">Check for external developer docs</t>
  </si>
  <si>
    <t xml:space="preserve">Google: [Company Name] developer docs  OR  [Company Name] API docs. If a public portal exists, they are a stronger ICP match.</t>
  </si>
  <si>
    <t xml:space="preserve">4</t>
  </si>
  <si>
    <t xml:space="preserve">Note the exception rule</t>
  </si>
  <si>
    <t xml:space="preserve">AI/ML and Dev Tools companies under 2,000 employees can still be Tier 1 accounts — high ICP fit outweighs headcount. Score them on fit, not size.</t>
  </si>
  <si>
    <t xml:space="preserve">COLUMN G  ·  DOCUMENTATION PAIN SIGNALS  ·  Max 20 pts</t>
  </si>
  <si>
    <t xml:space="preserve">  "Confluence / SharePoint / Homegrown + external docs + visibly stale"</t>
  </si>
  <si>
    <t xml:space="preserve">  "Confluence / SharePoint / Homegrown + external docs present"</t>
  </si>
  <si>
    <t xml:space="preserve">  "Confluence / SharePoint / Homegrown — docs status unknown"</t>
  </si>
  <si>
    <t xml:space="preserve">  "Notion or GitBook — external developer docs present"</t>
  </si>
  <si>
    <t xml:space="preserve">  "ReadMe — incumbent API docs tool"</t>
  </si>
  <si>
    <t xml:space="preserve">  "Current tool unknown — research needed"</t>
  </si>
  <si>
    <t xml:space="preserve">Find their doc tool</t>
  </si>
  <si>
    <t xml:space="preserve">Go to their public developer docs or help center. Scroll to the footer — most platforms leave a 'Powered by X' credit. If no footer, inspect the URL: atlassian.net = Confluence, gitbook.io = GitBook, readme.io = ReadMe.</t>
  </si>
  <si>
    <t xml:space="preserve">Check for a public developer portal</t>
  </si>
  <si>
    <t xml:space="preserve">Google: [Company] developer docs OR [Company] API reference. If it exists, move up toward the top options in the dropdown.</t>
  </si>
  <si>
    <t xml:space="preserve">Check for visible staleness</t>
  </si>
  <si>
    <t xml:space="preserve">Look for 'Last updated' timestamps in the docs. Cross-reference with their GitHub releases or engineering blog. If docs haven't been updated in 30+ days but they're shipping regularly — that's a pain signal AND a personalization hook for your outreach.</t>
  </si>
  <si>
    <t xml:space="preserve">If tool is unknown</t>
  </si>
  <si>
    <t xml:space="preserve">Score it at 5 (unknown) and add a note in column O. Uncovering the current tool is a great first discovery call question.</t>
  </si>
  <si>
    <t xml:space="preserve">COLUMN H  ·  TRIGGER / WHY NOW  ·  Max 25 pts</t>
  </si>
  <si>
    <t xml:space="preserve">  "New CTO or VP Eng hired in last 90 days"</t>
  </si>
  <si>
    <t xml:space="preserve">  "AI initiative, internal copilot, or agent product announced"</t>
  </si>
  <si>
    <t xml:space="preserve">  "Active API launch, developer portal rebuild, or Series B+ funding"</t>
  </si>
  <si>
    <t xml:space="preserve">  "Hiring for docs, DevRel, or Developer Experience roles (last 60 days)"</t>
  </si>
  <si>
    <t xml:space="preserve">  "Docs visibly stale vs. GitHub/release cadence"</t>
  </si>
  <si>
    <t xml:space="preserve">  "Named account — no specific trigger identified yet"</t>
  </si>
  <si>
    <t xml:space="preserve">  "No trigger — status quo appears comfortable"</t>
  </si>
  <si>
    <t xml:space="preserve">Check for new leadership (highest value trigger)</t>
  </si>
  <si>
    <t xml:space="preserve">LinkedIn → search the company → filter People by 'Changed jobs in past 90 days' → filter by VP / CTO titles. New VP Eng or CTO in last 90 days = 25 pts and your #1 outreach priority.</t>
  </si>
  <si>
    <t xml:space="preserve">Check for AI initiative</t>
  </si>
  <si>
    <t xml:space="preserve">Company homepage, newsroom, and recent press releases. Search: [Company] AI announcement OR [Company] AI product 2025. If it's in their headline messaging — 25 pts.</t>
  </si>
  <si>
    <t xml:space="preserve">Check LinkedIn Jobs for documentation hiring signal</t>
  </si>
  <si>
    <t xml:space="preserve">Go to LinkedIn Jobs → search [Company Name] → filter by: Technical Writer, Developer Experience, DevRel, Documentation Engineer. Posted in last 60 days = 18 pts AND your outreach angle.</t>
  </si>
  <si>
    <t xml:space="preserve">Check for funding or product launch</t>
  </si>
  <si>
    <t xml:space="preserve">Crunchbase for funding (filter: last 6 months). Their engineering blog or press room for API/product launch announcements.</t>
  </si>
  <si>
    <t xml:space="preserve">5</t>
  </si>
  <si>
    <t xml:space="preserve">Pick the SINGLE HIGHEST trigger</t>
  </si>
  <si>
    <t xml:space="preserve">Do not stack triggers in the score. Stack them in column O (Trigger Detail) for outreach personalization. The score reflects urgency — the notes column holds the hooks.</t>
  </si>
  <si>
    <t xml:space="preserve">COLUMN I  ·  AI STRATEGY RISK  ·  Max 20 pts</t>
  </si>
  <si>
    <t xml:space="preserve">  "Building AI agents or copilots that query documentation"</t>
  </si>
  <si>
    <t xml:space="preserve">  "Board-level AI mandate — knowledge infrastructure is a dependency"</t>
  </si>
  <si>
    <t xml:space="preserve">  "AI/ML company or public AI roadmap announced"</t>
  </si>
  <si>
    <t xml:space="preserve">  "PLG or SaaS with AI features in development — docs readiness unclear"</t>
  </si>
  <si>
    <t xml:space="preserve">  "AI-aware but no documentation dependency identified"</t>
  </si>
  <si>
    <t xml:space="preserve">  "No AI strategy signal"</t>
  </si>
  <si>
    <t xml:space="preserve">Read their homepage</t>
  </si>
  <si>
    <t xml:space="preserve">Is AI in their H1 headline or primary product positioning? If yes → 18–20 pts. If in secondary messaging or a blog post → 12–16 pts. If not mentioned → 3–7 pts.</t>
  </si>
  <si>
    <t xml:space="preserve">Count AI job postings</t>
  </si>
  <si>
    <t xml:space="preserve">LinkedIn Jobs → search [Company] → filter by AI, ML, LLM, machine learning in title. 5+ active AI roles = board-level mandate even if not publicly announced. Score 16–18.</t>
  </si>
  <si>
    <t xml:space="preserve">Ask the key question</t>
  </si>
  <si>
    <t xml:space="preserve">Would this company's AI agents, copilots, or LLM-powered features need to query documentation to function? If yes — their documentation infrastructure is a direct dependency of their AI strategy. Score 18–20.</t>
  </si>
  <si>
    <t xml:space="preserve">Connect it to your pitch</t>
  </si>
  <si>
    <t xml:space="preserve">High AI Strategy Risk = your strongest Why Now argument. Their AI strategy cannot succeed without AI-readable, structured, up-to-date documentation. Mintlify is an AI infrastructure play, not a docs tool.</t>
  </si>
  <si>
    <t xml:space="preserve">COLUMN J  ·  ACCESS &amp; DEAL DYNAMICS  ·  Max 15 pts</t>
  </si>
  <si>
    <t xml:space="preserve">  "Inbound interest + Champion with confirmed EB access"</t>
  </si>
  <si>
    <t xml:space="preserve">  "Inbound interest + contact identified (champion status unconfirmed)"</t>
  </si>
  <si>
    <t xml:space="preserve">  "Warm intro or referral available + contact identified"</t>
  </si>
  <si>
    <t xml:space="preserve">  "Cold outbound — contact identified, no existing relationship"</t>
  </si>
  <si>
    <t xml:space="preserve">  "Cold outbound — no contact identified yet"</t>
  </si>
  <si>
    <t xml:space="preserve">Check the CRM on day 1</t>
  </si>
  <si>
    <t xml:space="preserve">Ask your manager or check Salesforce / HubSpot: has anyone from this account trialed Mintlify, visited the pricing page, or submitted an inquiry? Inbound signal = 12–15 pts immediately.</t>
  </si>
  <si>
    <t xml:space="preserve">Check your LinkedIn network</t>
  </si>
  <si>
    <t xml:space="preserve">Search the company in LinkedIn → People → filter by 1st degree connections. A first-degree connection = warm intro path. Check if any Mintlify team members are connected.</t>
  </si>
  <si>
    <t xml:space="preserve">Identify the EB and Champion</t>
  </si>
  <si>
    <t xml:space="preserve">At minimum, name the Economic Buyer (VP Eng / CTO) and a likely Champion (Head of DevRel, Staff Eng, Technical Writer). Even if you haven't spoken yet — knowing who to reach changes the score.</t>
  </si>
  <si>
    <t xml:space="preserve">Update this column as deals develop</t>
  </si>
  <si>
    <t xml:space="preserve">This is the ONLY column that should change week over week. Every new champion identified, every EB meeting confirmed — update the score and re-check the Tier. This column reflects deal momentum.</t>
  </si>
  <si>
    <t xml:space="preserve">⚡  TIME CAP PER ACCOUNT: 15–20 minutes max. Score with what you have. Send the outreach. Update scores as you learn more from actual conversations. If a Tier 3 or Deprioritized account has no new trigger event in 60 days — remove it from active tracking.</t>
  </si>
  <si>
    <t xml:space="preserve">MINTLIFY  |  LINKEDIN SALES NAVIGATOR BOOLEAN SEARCH FILTERS</t>
  </si>
  <si>
    <t xml:space="preserve">Copy-paste each filter string into the Sales Nav Title or Keywords field. Apply headcount and industry filters separately in the UI.</t>
  </si>
  <si>
    <t xml:space="preserve">TARGET TIER / USE CASE</t>
  </si>
  <si>
    <t xml:space="preserve">BOOLEAN FILTER STRING  (copy-paste directly into Sales Nav)</t>
  </si>
  <si>
    <t xml:space="preserve">ADDITIONAL UI FILTERS TO APPLY</t>
  </si>
  <si>
    <t xml:space="preserve">ECONOMIC BUYER
VP Engineering / CTO
(Primary EB target)</t>
  </si>
  <si>
    <t xml:space="preserve">("VP of Engineering" OR "VP Engineering" OR "CTO" OR "Chief Technology Officer" OR "Head of Engineering" OR "SVP Engineering" OR "SVP of Engineering" OR "EVP Engineering") NOT ("Intern" OR "Assistant" OR "Junior" OR "Associate")</t>
  </si>
  <si>
    <t xml:space="preserve">Headcount: 2,000–10,000
Industry: Software, Financial Services, FinTech, Internet
Geography: United States</t>
  </si>
  <si>
    <t xml:space="preserve">CHAMPION TIER
Head of DevRel /
Developer Experience
(Highest cold conversion)</t>
  </si>
  <si>
    <t xml:space="preserve">("Head of Developer Experience" OR "VP Developer Relations" OR "Head of DevRel" OR "Director of Developer Experience" OR "VP of DevRel" OR "Director of Developer Relations" OR "Head of Developer Advocacy" OR "Head of Documentation" OR "Director of Documentation" OR "Principal Technical Writer" OR "Staff Technical Writer")</t>
  </si>
  <si>
    <t xml:space="preserve">Headcount: 2,000–10,000
Industry: Software, FinTech, Internet
Note: These own the pain daily. High conversion on commercial insight cold email.</t>
  </si>
  <si>
    <t xml:space="preserve">INTERNAL MOBILIZER
Senior / Staff Engineers
(Multi-threading inside accounts)</t>
  </si>
  <si>
    <t xml:space="preserve">("Staff Engineer" OR "Principal Engineer" OR "Senior Staff Engineer" OR "Engineering Manager" OR "Senior Engineering Manager" OR "Director of Engineering") AND ("platform" OR "developer productivity" OR "developer experience" OR "internal tools" OR "infrastructure")</t>
  </si>
  <si>
    <t xml:space="preserve">Use within named accounts only
Filter: Current company = [named account]
Not budget owners — strong internal mobilizers.</t>
  </si>
  <si>
    <t xml:space="preserve">🔥 TRIGGER SEARCH #1
New VP Eng / CTO
(Last 90 days — highest conversion window)</t>
  </si>
  <si>
    <t xml:space="preserve">("VP of Engineering" OR "VP Engineering" OR "CTO" OR "Chief Technology Officer" OR "Head of Engineering")</t>
  </si>
  <si>
    <t xml:space="preserve">CRITICAL: Filter 'Changed jobs in past 90 days'
Headcount: 2,000+
This is your #1 outbound trigger. They're auditing everything and haven't committed to Confluence yet.</t>
  </si>
  <si>
    <t xml:space="preserve">🔥 TRIGGER SEARCH #2
Documentation / DevRel Hiring
(LinkedIn Jobs — not Sales Nav People)</t>
  </si>
  <si>
    <t xml:space="preserve">"Technical Writer" OR "Developer Experience Engineer" OR "Head of Documentation" OR "Developer Relations Manager" OR "DevRel Engineer" OR "Documentation Engineer"</t>
  </si>
  <si>
    <t xml:space="preserve">Use LinkedIn JOBS search (not People)
Filter: Posted in last 60 days. Headcount: 2,000+
Signal: Company knows docs are broken and is trying to hire their way out of it. That's your commercial insight in real time.</t>
  </si>
  <si>
    <t xml:space="preserve">FINTECH VERTICAL
FinTech EB filter</t>
  </si>
  <si>
    <t xml:space="preserve">("VP of Engineering" OR "VP Engineering" OR "CTO" OR "Head of Engineering" OR "Chief Technology Officer" OR "Head of Developer Experience" OR "Head of DevRel")</t>
  </si>
  <si>
    <t xml:space="preserve">Industry: Financial Services, FinTech, Banking
Headcount: 2,000–15,000
NYC Priority accounts: Brex, Plaid, Nuvei, Broadridge, Marqeta, Adyen, Stripe, Checkout.com</t>
  </si>
  <si>
    <t xml:space="preserve">AI / ML VERTICAL
AI company EB / Champion filter</t>
  </si>
  <si>
    <t xml:space="preserve">("VP of Engineering" OR "CTO" OR "Head of Engineering" OR "Head of Developer Experience" OR "Head of DevRel" OR "VP Developer Relations" OR "Head of AI Platform" OR "VP of AI")</t>
  </si>
  <si>
    <t xml:space="preserve">Industry: Software, Artificial Intelligence
Headcount: 500–5,000 (exception: AI companies below 2k)
Target: Perplexity, ElevenLabs, Together AI, Groq, Cohere, Mistral, Runway, Character.ai</t>
  </si>
  <si>
    <t xml:space="preserve">DEV TOOLS VERTICAL
Developer Tools EB / Champion filter</t>
  </si>
  <si>
    <t xml:space="preserve">("VP of Engineering" OR "CTO" OR "Head of Engineering" OR "Head of DevRel" OR "Head of Developer Experience" OR "VP Developer Relations" OR "Director of Developer Relations")</t>
  </si>
  <si>
    <t xml:space="preserve">Industry: Software, Developer Tools, Internet
Headcount: 500–5,000
Target: Retool, Vercel, Linear, Figma, Loom, Datadog, LaunchDarkly, Postman, Stoplight</t>
  </si>
  <si>
    <t xml:space="preserve">ENTERPRISE TECH VERTICAL
Large enterprise EB filter</t>
  </si>
  <si>
    <t xml:space="preserve">("VP of Engineering" OR "SVP Engineering" OR "EVP Engineering" OR "CTO" OR "Chief Technology Officer" OR "VP of Developer Experience" OR "VP Developer Platform")</t>
  </si>
  <si>
    <t xml:space="preserve">Industry: Software, Enterprise Software, Technology
Headcount: 5,000–50,000
Target: Microsoft, Salesforce, ServiceNow, Workday, Twilio, Zendesk, PagerDuty, Elastic, Confluent</t>
  </si>
  <si>
    <t xml:space="preserve">💡  RULE: Sales Nav finds people. The Commercial Insight Script makes them respond. Cap your Sales Nav time at 30 min/day. Build lists, then execute. Saved search + 'Changed jobs in 90 days' alert on VP Eng titles = your highest-ROI automation.</t>
  </si>
</sst>
</file>

<file path=xl/styles.xml><?xml version="1.0" encoding="utf-8"?>
<styleSheet xmlns="http://schemas.openxmlformats.org/spreadsheetml/2006/main">
  <numFmts count="2">
    <numFmt numFmtId="164" formatCode="General"/>
    <numFmt numFmtId="165" formatCode="General"/>
  </numFmts>
  <fonts count="2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667085"/>
      <name val="Arial"/>
      <family val="0"/>
      <charset val="1"/>
    </font>
    <font>
      <b val="true"/>
      <sz val="10"/>
      <color rgb="FF065F46"/>
      <name val="Arial"/>
      <family val="0"/>
      <charset val="1"/>
    </font>
    <font>
      <b val="true"/>
      <sz val="10"/>
      <color rgb="FF92400E"/>
      <name val="Arial"/>
      <family val="0"/>
      <charset val="1"/>
    </font>
    <font>
      <b val="true"/>
      <sz val="10"/>
      <color rgb="FF475569"/>
      <name val="Arial"/>
      <family val="0"/>
      <charset val="1"/>
    </font>
    <font>
      <b val="true"/>
      <sz val="10"/>
      <color rgb="FF991B1B"/>
      <name val="Arial"/>
      <family val="0"/>
      <charset val="1"/>
    </font>
    <font>
      <b val="true"/>
      <sz val="10"/>
      <color rgb="FF1E40AF"/>
      <name val="Arial"/>
      <family val="0"/>
      <charset val="1"/>
    </font>
    <font>
      <b val="true"/>
      <sz val="9"/>
      <color rgb="FFFFFFFF"/>
      <name val="Arial"/>
      <family val="0"/>
      <charset val="1"/>
    </font>
    <font>
      <sz val="9"/>
      <color rgb="FF000000"/>
      <name val="Arial"/>
      <family val="0"/>
      <charset val="1"/>
    </font>
    <font>
      <sz val="8"/>
      <color rgb="FF0F1F3D"/>
      <name val="Arial"/>
      <family val="0"/>
      <charset val="1"/>
    </font>
    <font>
      <b val="true"/>
      <sz val="14"/>
      <color rgb="FF0F1F3D"/>
      <name val="Arial"/>
      <family val="0"/>
      <charset val="1"/>
    </font>
    <font>
      <b val="true"/>
      <sz val="10"/>
      <name val="Arial"/>
      <family val="0"/>
      <charset val="1"/>
    </font>
    <font>
      <sz val="9"/>
      <color rgb="FFFFFFFF"/>
      <name val="Arial"/>
      <family val="0"/>
      <charset val="1"/>
    </font>
    <font>
      <b val="true"/>
      <sz val="14"/>
      <color rgb="FFFFFFFF"/>
      <name val="Arial"/>
      <family val="0"/>
      <charset val="1"/>
    </font>
    <font>
      <b val="true"/>
      <sz val="12"/>
      <color rgb="FFFFFFFF"/>
      <name val="Arial"/>
      <family val="0"/>
      <charset val="1"/>
    </font>
    <font>
      <b val="true"/>
      <sz val="10"/>
      <color rgb="FF0F1F3D"/>
      <name val="Arial"/>
      <family val="0"/>
      <charset val="1"/>
    </font>
    <font>
      <sz val="9"/>
      <color rgb="FF0F1F3D"/>
      <name val="Arial"/>
      <family val="0"/>
      <charset val="1"/>
    </font>
    <font>
      <b val="true"/>
      <sz val="11"/>
      <color rgb="FF00B37E"/>
      <name val="Arial"/>
      <family val="0"/>
      <charset val="1"/>
    </font>
    <font>
      <b val="true"/>
      <sz val="12"/>
      <color rgb="FF00B37E"/>
      <name val="Arial"/>
      <family val="0"/>
      <charset val="1"/>
    </font>
    <font>
      <sz val="9"/>
      <color rgb="FF667085"/>
      <name val="Arial"/>
      <family val="0"/>
      <charset val="1"/>
    </font>
    <font>
      <b val="true"/>
      <sz val="10"/>
      <color rgb="FFFFFFFF"/>
      <name val="Arial"/>
      <family val="0"/>
      <charset val="1"/>
    </font>
    <font>
      <sz val="9"/>
      <color rgb="FF1A1A2E"/>
      <name val="Courier New"/>
      <family val="0"/>
      <charset val="1"/>
    </font>
    <font>
      <i val="true"/>
      <sz val="10"/>
      <color rgb="FF0F1F3D"/>
      <name val="Arial"/>
      <family val="0"/>
      <charset val="1"/>
    </font>
  </fonts>
  <fills count="17">
    <fill>
      <patternFill patternType="none"/>
    </fill>
    <fill>
      <patternFill patternType="gray125"/>
    </fill>
    <fill>
      <patternFill patternType="solid">
        <fgColor rgb="FF0F1F3D"/>
        <bgColor rgb="FF1A1A2E"/>
      </patternFill>
    </fill>
    <fill>
      <patternFill patternType="solid">
        <fgColor rgb="FFF4F6F9"/>
        <bgColor rgb="FFF1F5F9"/>
      </patternFill>
    </fill>
    <fill>
      <patternFill patternType="solid">
        <fgColor rgb="FFD1FAE5"/>
        <bgColor rgb="FFE6F7F2"/>
      </patternFill>
    </fill>
    <fill>
      <patternFill patternType="solid">
        <fgColor rgb="FFFEF3C7"/>
        <bgColor rgb="FFFEF3DC"/>
      </patternFill>
    </fill>
    <fill>
      <patternFill patternType="solid">
        <fgColor rgb="FFF1F5F9"/>
        <bgColor rgb="FFF4F6F9"/>
      </patternFill>
    </fill>
    <fill>
      <patternFill patternType="solid">
        <fgColor rgb="FFFEE2E2"/>
        <bgColor rgb="FFFFF3E0"/>
      </patternFill>
    </fill>
    <fill>
      <patternFill patternType="solid">
        <fgColor rgb="FFEFF6FF"/>
        <bgColor rgb="FFF1F5F9"/>
      </patternFill>
    </fill>
    <fill>
      <patternFill patternType="solid">
        <fgColor rgb="FFC05621"/>
        <bgColor rgb="FF92400E"/>
      </patternFill>
    </fill>
    <fill>
      <patternFill patternType="solid">
        <fgColor rgb="FFF5A623"/>
        <bgColor rgb="FFFFCC00"/>
      </patternFill>
    </fill>
    <fill>
      <patternFill patternType="solid">
        <fgColor rgb="FF2D3748"/>
        <bgColor rgb="FF0F1F3D"/>
      </patternFill>
    </fill>
    <fill>
      <patternFill patternType="solid">
        <fgColor rgb="FFFFFFFF"/>
        <bgColor rgb="FFF4F6F9"/>
      </patternFill>
    </fill>
    <fill>
      <patternFill patternType="solid">
        <fgColor rgb="FFFFF3E0"/>
        <bgColor rgb="FFFEF3DC"/>
      </patternFill>
    </fill>
    <fill>
      <patternFill patternType="solid">
        <fgColor rgb="FFFEF3DC"/>
        <bgColor rgb="FFFFF3E0"/>
      </patternFill>
    </fill>
    <fill>
      <patternFill patternType="solid">
        <fgColor rgb="FF00B37E"/>
        <bgColor rgb="FF008080"/>
      </patternFill>
    </fill>
    <fill>
      <patternFill patternType="solid">
        <fgColor rgb="FFE6F7F2"/>
        <bgColor rgb="FFEFF6FF"/>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center" vertical="center" textRotation="0" wrapText="false" indent="0" shrinkToFit="false"/>
      <protection locked="true" hidden="false"/>
    </xf>
    <xf numFmtId="164" fontId="7" fillId="5" borderId="0" xfId="0" applyFont="true" applyBorder="true" applyAlignment="true" applyProtection="false">
      <alignment horizontal="center" vertical="center" textRotation="0" wrapText="false" indent="0" shrinkToFit="false"/>
      <protection locked="true" hidden="false"/>
    </xf>
    <xf numFmtId="164" fontId="8" fillId="6" borderId="0" xfId="0" applyFont="true" applyBorder="true" applyAlignment="true" applyProtection="false">
      <alignment horizontal="center" vertical="center" textRotation="0" wrapText="false" indent="0" shrinkToFit="false"/>
      <protection locked="true" hidden="false"/>
    </xf>
    <xf numFmtId="164" fontId="9" fillId="7" borderId="0" xfId="0" applyFont="true" applyBorder="true" applyAlignment="true" applyProtection="false">
      <alignment horizontal="center" vertical="center" textRotation="0" wrapText="false" indent="0" shrinkToFit="false"/>
      <protection locked="true" hidden="false"/>
    </xf>
    <xf numFmtId="164" fontId="10" fillId="8" borderId="0" xfId="0" applyFont="true" applyBorder="true" applyAlignment="true" applyProtection="false">
      <alignment horizontal="left" vertical="center" textRotation="0" wrapText="true" indent="0" shrinkToFit="false"/>
      <protection locked="true" hidden="false"/>
    </xf>
    <xf numFmtId="164" fontId="11" fillId="2" borderId="0" xfId="0" applyFont="true" applyBorder="false" applyAlignment="true" applyProtection="false">
      <alignment horizontal="center" vertical="center" textRotation="0" wrapText="true" indent="0" shrinkToFit="false"/>
      <protection locked="true" hidden="false"/>
    </xf>
    <xf numFmtId="164" fontId="11" fillId="9" borderId="0" xfId="0" applyFont="true" applyBorder="false" applyAlignment="true" applyProtection="false">
      <alignment horizontal="center" vertical="center" textRotation="0" wrapText="true" indent="0" shrinkToFit="false"/>
      <protection locked="true" hidden="false"/>
    </xf>
    <xf numFmtId="164" fontId="11" fillId="10" borderId="0" xfId="0" applyFont="true" applyBorder="false" applyAlignment="true" applyProtection="false">
      <alignment horizontal="center" vertical="center" textRotation="0" wrapText="true" indent="0" shrinkToFit="false"/>
      <protection locked="true" hidden="false"/>
    </xf>
    <xf numFmtId="164" fontId="11" fillId="11" borderId="0" xfId="0" applyFont="true" applyBorder="false" applyAlignment="true" applyProtection="false">
      <alignment horizontal="center" vertical="center" textRotation="0" wrapText="true" indent="0" shrinkToFit="false"/>
      <protection locked="true" hidden="false"/>
    </xf>
    <xf numFmtId="164" fontId="12" fillId="12" borderId="1" xfId="0" applyFont="true" applyBorder="true" applyAlignment="true" applyProtection="false">
      <alignment horizontal="left" vertical="center" textRotation="0" wrapText="true" indent="0" shrinkToFit="false"/>
      <protection locked="true" hidden="false"/>
    </xf>
    <xf numFmtId="164" fontId="13" fillId="13" borderId="1" xfId="0" applyFont="true" applyBorder="true" applyAlignment="true" applyProtection="false">
      <alignment horizontal="left" vertical="center" textRotation="0" wrapText="true" indent="0" shrinkToFit="false"/>
      <protection locked="true" hidden="false"/>
    </xf>
    <xf numFmtId="165" fontId="14" fillId="14" borderId="1" xfId="0" applyFont="true" applyBorder="true" applyAlignment="true" applyProtection="false">
      <alignment horizontal="center" vertical="center" textRotation="0" wrapText="false" indent="0" shrinkToFit="false"/>
      <protection locked="true" hidden="false"/>
    </xf>
    <xf numFmtId="164" fontId="15" fillId="12" borderId="1" xfId="0" applyFont="true" applyBorder="true" applyAlignment="true" applyProtection="false">
      <alignment horizontal="center" vertical="center" textRotation="0" wrapText="false" indent="0" shrinkToFit="false"/>
      <protection locked="true" hidden="false"/>
    </xf>
    <xf numFmtId="165" fontId="16" fillId="12" borderId="0" xfId="0" applyFont="true" applyBorder="fals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left" vertical="center" textRotation="0" wrapText="true" indent="0" shrinkToFit="false"/>
      <protection locked="true" hidden="false"/>
    </xf>
    <xf numFmtId="164" fontId="15" fillId="3" borderId="1" xfId="0" applyFont="true" applyBorder="true" applyAlignment="true" applyProtection="false">
      <alignment horizontal="center"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18" fillId="15" borderId="0" xfId="0" applyFont="true" applyBorder="true" applyAlignment="true" applyProtection="false">
      <alignment horizontal="left" vertical="center" textRotation="0" wrapText="false" indent="0" shrinkToFit="false"/>
      <protection locked="true" hidden="false"/>
    </xf>
    <xf numFmtId="164" fontId="19" fillId="16" borderId="0" xfId="0" applyFont="true" applyBorder="true" applyAlignment="true" applyProtection="false">
      <alignment horizontal="left" vertical="center" textRotation="0" wrapText="false" indent="0" shrinkToFit="false"/>
      <protection locked="true" hidden="false"/>
    </xf>
    <xf numFmtId="164" fontId="11" fillId="11" borderId="1" xfId="0" applyFont="true" applyBorder="true" applyAlignment="true" applyProtection="false">
      <alignment horizontal="center" vertical="center" textRotation="0" wrapText="false" indent="0" shrinkToFit="false"/>
      <protection locked="true" hidden="false"/>
    </xf>
    <xf numFmtId="164" fontId="11" fillId="15" borderId="1" xfId="0" applyFont="true" applyBorder="true" applyAlignment="true" applyProtection="false">
      <alignment horizontal="center" vertical="center" textRotation="0" wrapText="false" indent="0" shrinkToFit="false"/>
      <protection locked="true" hidden="false"/>
    </xf>
    <xf numFmtId="164" fontId="20" fillId="3" borderId="1" xfId="0" applyFont="true" applyBorder="true" applyAlignment="true" applyProtection="false">
      <alignment horizontal="left" vertical="center" textRotation="0" wrapText="false" indent="0" shrinkToFit="false"/>
      <protection locked="true" hidden="false"/>
    </xf>
    <xf numFmtId="164" fontId="21" fillId="16" borderId="1" xfId="0" applyFont="true" applyBorder="true" applyAlignment="true" applyProtection="false">
      <alignment horizontal="center" vertical="center" textRotation="0" wrapText="false" indent="0" shrinkToFit="false"/>
      <protection locked="true" hidden="false"/>
    </xf>
    <xf numFmtId="164" fontId="20" fillId="12" borderId="1" xfId="0" applyFont="true" applyBorder="true" applyAlignment="true" applyProtection="false">
      <alignment horizontal="left" vertical="center" textRotation="0" wrapText="false" indent="0" shrinkToFit="false"/>
      <protection locked="true" hidden="false"/>
    </xf>
    <xf numFmtId="164" fontId="10" fillId="8" borderId="0" xfId="0" applyFont="true" applyBorder="true" applyAlignment="true" applyProtection="false">
      <alignment horizontal="left"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22" fillId="16" borderId="1" xfId="0" applyFont="true" applyBorder="true" applyAlignment="true" applyProtection="false">
      <alignment horizontal="center" vertical="center" textRotation="0" wrapText="false" indent="0" shrinkToFit="false"/>
      <protection locked="true" hidden="false"/>
    </xf>
    <xf numFmtId="164" fontId="19" fillId="3" borderId="1" xfId="0" applyFont="true" applyBorder="true" applyAlignment="true" applyProtection="false">
      <alignment horizontal="left" vertical="center" textRotation="0" wrapText="true" indent="0" shrinkToFit="false"/>
      <protection locked="true" hidden="false"/>
    </xf>
    <xf numFmtId="164" fontId="23" fillId="3" borderId="1" xfId="0" applyFont="true" applyBorder="true" applyAlignment="true" applyProtection="false">
      <alignment horizontal="left" vertical="top" textRotation="0" wrapText="true" indent="0" shrinkToFit="false"/>
      <protection locked="true" hidden="false"/>
    </xf>
    <xf numFmtId="164" fontId="19" fillId="12" borderId="1" xfId="0" applyFont="true" applyBorder="true" applyAlignment="true" applyProtection="false">
      <alignment horizontal="left" vertical="center" textRotation="0" wrapText="true" indent="0" shrinkToFit="false"/>
      <protection locked="true" hidden="false"/>
    </xf>
    <xf numFmtId="164" fontId="23" fillId="12" borderId="1" xfId="0" applyFont="true" applyBorder="true" applyAlignment="true" applyProtection="false">
      <alignment horizontal="left" vertical="top" textRotation="0" wrapText="true" indent="0" shrinkToFit="false"/>
      <protection locked="true" hidden="false"/>
    </xf>
    <xf numFmtId="164" fontId="9" fillId="7" borderId="0" xfId="0" applyFont="true" applyBorder="true" applyAlignment="true" applyProtection="false">
      <alignment horizontal="left" vertical="center" textRotation="0" wrapText="true" indent="0" shrinkToFit="false"/>
      <protection locked="true" hidden="false"/>
    </xf>
    <xf numFmtId="164" fontId="24" fillId="2" borderId="1" xfId="0" applyFont="true" applyBorder="true" applyAlignment="true" applyProtection="false">
      <alignment horizontal="center" vertical="center" textRotation="0" wrapText="true" indent="0" shrinkToFit="false"/>
      <protection locked="true" hidden="false"/>
    </xf>
    <xf numFmtId="164" fontId="24" fillId="15" borderId="1" xfId="0" applyFont="true" applyBorder="true" applyAlignment="true" applyProtection="false">
      <alignment horizontal="center" vertical="center" textRotation="0" wrapText="true" indent="0" shrinkToFit="false"/>
      <protection locked="true" hidden="false"/>
    </xf>
    <xf numFmtId="164" fontId="24" fillId="11" borderId="1" xfId="0" applyFont="true" applyBorder="true" applyAlignment="true" applyProtection="false">
      <alignment horizontal="center" vertical="center" textRotation="0" wrapText="true" indent="0" shrinkToFit="false"/>
      <protection locked="true" hidden="false"/>
    </xf>
    <xf numFmtId="164" fontId="19" fillId="16" borderId="1" xfId="0" applyFont="true" applyBorder="true" applyAlignment="true" applyProtection="false">
      <alignment horizontal="left" vertical="top" textRotation="0" wrapText="true" indent="0" shrinkToFit="false"/>
      <protection locked="true" hidden="false"/>
    </xf>
    <xf numFmtId="164" fontId="25" fillId="3" borderId="1" xfId="0" applyFont="true" applyBorder="true" applyAlignment="true" applyProtection="false">
      <alignment horizontal="left" vertical="top" textRotation="0" wrapText="true" indent="0" shrinkToFit="false"/>
      <protection locked="true" hidden="false"/>
    </xf>
    <xf numFmtId="164" fontId="25" fillId="12" borderId="1" xfId="0" applyFont="true" applyBorder="true" applyAlignment="true" applyProtection="false">
      <alignment horizontal="left" vertical="top" textRotation="0" wrapText="true" indent="0" shrinkToFit="false"/>
      <protection locked="true" hidden="false"/>
    </xf>
    <xf numFmtId="164" fontId="19" fillId="3" borderId="1" xfId="0" applyFont="true" applyBorder="true" applyAlignment="true" applyProtection="false">
      <alignment horizontal="left" vertical="top" textRotation="0" wrapText="true" indent="0" shrinkToFit="false"/>
      <protection locked="true" hidden="false"/>
    </xf>
    <xf numFmtId="164" fontId="19" fillId="12" borderId="1" xfId="0" applyFont="true" applyBorder="true" applyAlignment="true" applyProtection="false">
      <alignment horizontal="left" vertical="top" textRotation="0" wrapText="true" indent="0" shrinkToFit="false"/>
      <protection locked="true" hidden="false"/>
    </xf>
    <xf numFmtId="164" fontId="26" fillId="16"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b val="1"/>
        <color rgb="FF065F46"/>
      </font>
      <fill>
        <patternFill>
          <bgColor rgb="FFD1FAE5"/>
        </patternFill>
      </fill>
    </dxf>
    <dxf>
      <font>
        <b val="1"/>
        <color rgb="FF92400E"/>
      </font>
      <fill>
        <patternFill>
          <bgColor rgb="FFFEF3C7"/>
        </patternFill>
      </fill>
    </dxf>
    <dxf>
      <font>
        <b val="1"/>
        <color rgb="FF475569"/>
      </font>
      <fill>
        <patternFill>
          <bgColor rgb="FFF1F5F9"/>
        </patternFill>
      </fill>
    </dxf>
    <dxf>
      <font>
        <b val="1"/>
        <color rgb="FF991B1B"/>
      </font>
      <fill>
        <patternFill>
          <bgColor rgb="FFFEE2E2"/>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800080"/>
      <rgbColor rgb="FF065F46"/>
      <rgbColor rgb="FFF1F5F9"/>
      <rgbColor rgb="FF475569"/>
      <rgbColor rgb="FF9999FF"/>
      <rgbColor rgb="FF993366"/>
      <rgbColor rgb="FFFEF3C7"/>
      <rgbColor rgb="FFE6F7F2"/>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EFF6FF"/>
      <rgbColor rgb="FFD1FAE5"/>
      <rgbColor rgb="FFFEF3DC"/>
      <rgbColor rgb="FFF4F6F9"/>
      <rgbColor rgb="FFFFF3E0"/>
      <rgbColor rgb="FFCC99FF"/>
      <rgbColor rgb="FFFEE2E2"/>
      <rgbColor rgb="FF3366FF"/>
      <rgbColor rgb="FF33CCCC"/>
      <rgbColor rgb="FF99CC00"/>
      <rgbColor rgb="FFFFCC00"/>
      <rgbColor rgb="FFF5A623"/>
      <rgbColor rgb="FFC05621"/>
      <rgbColor rgb="FF667085"/>
      <rgbColor rgb="FF969696"/>
      <rgbColor rgb="FF0F1F3D"/>
      <rgbColor rgb="FF00B37E"/>
      <rgbColor rgb="FF003300"/>
      <rgbColor rgb="FF1A1A2E"/>
      <rgbColor rgb="FF92400E"/>
      <rgbColor rgb="FF993366"/>
      <rgbColor rgb="FF1E40AF"/>
      <rgbColor rgb="FF2D374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37E"/>
    <pageSetUpPr fitToPage="false"/>
  </sheetPr>
  <dimension ref="A1:X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14"/>
    <col collapsed="false" customWidth="true" hidden="false" outlineLevel="0" max="4" min="4" style="0" width="10"/>
    <col collapsed="false" customWidth="true" hidden="false" outlineLevel="0" max="5" min="5" style="0" width="22"/>
    <col collapsed="false" customWidth="true" hidden="false" outlineLevel="0" max="6" min="6" style="0" width="30"/>
    <col collapsed="false" customWidth="true" hidden="false" outlineLevel="0" max="7" min="7" style="0" width="34"/>
    <col collapsed="false" customWidth="true" hidden="false" outlineLevel="0" max="8" min="8" style="0" width="38"/>
    <col collapsed="false" customWidth="true" hidden="false" outlineLevel="0" max="10" min="9" style="0" width="34"/>
    <col collapsed="false" customWidth="true" hidden="false" outlineLevel="0" max="11" min="11" style="0" width="12"/>
    <col collapsed="false" customWidth="true" hidden="false" outlineLevel="0" max="12" min="12" style="0" width="13"/>
    <col collapsed="false" customWidth="true" hidden="false" outlineLevel="0" max="13" min="13" style="0" width="18"/>
    <col collapsed="false" customWidth="true" hidden="false" outlineLevel="0" max="14" min="14" style="0" width="10"/>
    <col collapsed="false" customWidth="true" hidden="false" outlineLevel="0" max="15" min="15" style="0" width="28"/>
    <col collapsed="false" customWidth="true" hidden="false" outlineLevel="0" max="16" min="16" style="0" width="14"/>
    <col collapsed="false" customWidth="true" hidden="false" outlineLevel="0" max="17" min="17" style="0" width="24"/>
    <col collapsed="false" customWidth="true" hidden="false" outlineLevel="0" max="18" min="18" style="0" width="28"/>
    <col collapsed="false" customWidth="true" hidden="false" outlineLevel="0" max="19" min="19" style="0" width="14"/>
    <col collapsed="false" customWidth="true" hidden="true" outlineLevel="0" max="24" min="20" style="0" width="13"/>
  </cols>
  <sheetData>
    <row r="1" customFormat="false" ht="42" hidden="false" customHeight="true" outlineLevel="0" collapsed="false">
      <c r="A1" s="1" t="s">
        <v>0</v>
      </c>
      <c r="B1" s="1"/>
      <c r="C1" s="1"/>
      <c r="D1" s="1"/>
      <c r="E1" s="1"/>
      <c r="F1" s="1"/>
      <c r="G1" s="1"/>
      <c r="H1" s="1"/>
      <c r="I1" s="1"/>
      <c r="J1" s="1"/>
      <c r="K1" s="1"/>
      <c r="L1" s="1"/>
      <c r="M1" s="1"/>
      <c r="N1" s="1"/>
      <c r="O1" s="1"/>
      <c r="P1" s="1"/>
      <c r="Q1" s="1"/>
      <c r="R1" s="1"/>
      <c r="S1" s="1"/>
    </row>
    <row r="2" customFormat="false" ht="21.75" hidden="false" customHeight="true" outlineLevel="0" collapsed="false">
      <c r="A2" s="2" t="s">
        <v>1</v>
      </c>
      <c r="B2" s="2"/>
      <c r="C2" s="2"/>
      <c r="D2" s="2"/>
      <c r="E2" s="2"/>
      <c r="F2" s="2"/>
      <c r="G2" s="2"/>
      <c r="H2" s="2"/>
      <c r="I2" s="2"/>
      <c r="J2" s="2"/>
      <c r="K2" s="2"/>
      <c r="L2" s="2"/>
      <c r="M2" s="2"/>
      <c r="N2" s="2"/>
      <c r="O2" s="2"/>
      <c r="P2" s="2"/>
      <c r="Q2" s="2"/>
      <c r="R2" s="2"/>
      <c r="S2" s="2"/>
    </row>
    <row r="3" customFormat="false" ht="25.5" hidden="false" customHeight="true" outlineLevel="0" collapsed="false">
      <c r="A3" s="3" t="s">
        <v>2</v>
      </c>
      <c r="B3" s="3"/>
      <c r="C3" s="3"/>
      <c r="D3" s="3"/>
      <c r="E3" s="4" t="s">
        <v>3</v>
      </c>
      <c r="F3" s="4"/>
      <c r="G3" s="4"/>
      <c r="H3" s="4"/>
      <c r="I3" s="4"/>
      <c r="J3" s="5" t="s">
        <v>4</v>
      </c>
      <c r="K3" s="5"/>
      <c r="L3" s="5"/>
      <c r="M3" s="5"/>
      <c r="N3" s="6" t="s">
        <v>5</v>
      </c>
      <c r="O3" s="6"/>
      <c r="P3" s="6"/>
      <c r="Q3" s="6"/>
      <c r="R3" s="6"/>
      <c r="S3" s="6"/>
    </row>
    <row r="4" customFormat="false" ht="27.75" hidden="false" customHeight="true" outlineLevel="0" collapsed="false">
      <c r="A4" s="7" t="s">
        <v>6</v>
      </c>
      <c r="B4" s="7"/>
      <c r="C4" s="7"/>
      <c r="D4" s="7"/>
      <c r="E4" s="7"/>
      <c r="F4" s="7"/>
      <c r="G4" s="7"/>
      <c r="H4" s="7"/>
      <c r="I4" s="7"/>
      <c r="J4" s="7"/>
      <c r="K4" s="7"/>
      <c r="L4" s="7"/>
      <c r="M4" s="7"/>
      <c r="N4" s="7"/>
      <c r="O4" s="7"/>
      <c r="P4" s="7"/>
      <c r="Q4" s="7"/>
      <c r="R4" s="7"/>
      <c r="S4" s="7"/>
    </row>
    <row r="5" customFormat="false" ht="57.75" hidden="false" customHeight="true" outlineLevel="0" collapsed="false">
      <c r="A5" s="8" t="s">
        <v>7</v>
      </c>
      <c r="B5" s="8" t="s">
        <v>8</v>
      </c>
      <c r="C5" s="8" t="s">
        <v>9</v>
      </c>
      <c r="D5" s="8" t="s">
        <v>10</v>
      </c>
      <c r="E5" s="8" t="s">
        <v>11</v>
      </c>
      <c r="F5" s="9" t="s">
        <v>12</v>
      </c>
      <c r="G5" s="9" t="s">
        <v>13</v>
      </c>
      <c r="H5" s="9" t="s">
        <v>14</v>
      </c>
      <c r="I5" s="9" t="s">
        <v>15</v>
      </c>
      <c r="J5" s="9" t="s">
        <v>16</v>
      </c>
      <c r="K5" s="10" t="s">
        <v>17</v>
      </c>
      <c r="L5" s="10" t="s">
        <v>18</v>
      </c>
      <c r="M5" s="11" t="s">
        <v>19</v>
      </c>
      <c r="N5" s="11" t="s">
        <v>20</v>
      </c>
      <c r="O5" s="11" t="s">
        <v>21</v>
      </c>
      <c r="P5" s="11" t="s">
        <v>22</v>
      </c>
      <c r="Q5" s="11" t="s">
        <v>23</v>
      </c>
      <c r="R5" s="11" t="s">
        <v>24</v>
      </c>
      <c r="S5" s="11" t="s">
        <v>25</v>
      </c>
    </row>
    <row r="6" customFormat="false" ht="45.75" hidden="false" customHeight="true" outlineLevel="0" collapsed="false">
      <c r="A6" s="12" t="s">
        <v>26</v>
      </c>
      <c r="B6" s="12" t="s">
        <v>27</v>
      </c>
      <c r="C6" s="12" t="s">
        <v>28</v>
      </c>
      <c r="D6" s="12" t="s">
        <v>29</v>
      </c>
      <c r="E6" s="12" t="s">
        <v>30</v>
      </c>
      <c r="F6" s="13" t="s">
        <v>31</v>
      </c>
      <c r="G6" s="13" t="s">
        <v>32</v>
      </c>
      <c r="H6" s="13" t="s">
        <v>33</v>
      </c>
      <c r="I6" s="13" t="s">
        <v>34</v>
      </c>
      <c r="J6" s="13" t="s">
        <v>35</v>
      </c>
      <c r="K6" s="14" t="n">
        <f aca="false">IFERROR(IF(F6="","",T6+U6+V6+W6+X6),"")</f>
        <v>0</v>
      </c>
      <c r="L6" s="15" t="str">
        <f aca="false">IFERROR(IF(K6="","",IF(K6&gt;=80,"🟢 Tier 1",IF(K6&gt;=60,"🟡 Tier 2",IF(K6&gt;=40,"⚪ Tier 3","🔴 Depr.")))),"")</f>
        <v>🔴 Depr.</v>
      </c>
      <c r="M6" s="12" t="s">
        <v>36</v>
      </c>
      <c r="N6" s="12" t="s">
        <v>37</v>
      </c>
      <c r="O6" s="12" t="s">
        <v>38</v>
      </c>
      <c r="P6" s="12" t="s">
        <v>39</v>
      </c>
      <c r="Q6" s="12" t="s">
        <v>40</v>
      </c>
      <c r="R6" s="12" t="s">
        <v>41</v>
      </c>
      <c r="S6" s="12" t="s">
        <v>42</v>
      </c>
      <c r="T6" s="16" t="n">
        <f aca="false">IFERROR(ifs(F6="AI/ML or FinTech — developer-facing API product",20,F6="Developer Tools / Infrastructure company",17,F6="SaaS or PLG — 500+ engineer org",15,F6="Enterprise Tech — AI mandate, 5,000+ employees",14,F6="General SaaS — some developer-facing components",10,F6="Poor fit — minimal API or engineering exposure",5,TRUE(),0),0)</f>
        <v>0</v>
      </c>
      <c r="U6" s="16" t="n">
        <f aca="false">IFERROR(ifs(G6="Confluence / SharePoint / Homegrown + external docs + visibly stale",20,G6="Confluence / SharePoint / Homegrown + external docs present",17,G6="Confluence / SharePoint / Homegrown — docs status unknown",14,G6="Notion or GitBook — external developer docs present",12,G6="ReadMe — incumbent API docs tool",10,G6="Current tool unknown — research needed",5,TRUE(),0),0)</f>
        <v>0</v>
      </c>
      <c r="V6" s="16" t="n">
        <f aca="false">IFERROR(ifs(H6="New CTO or VP Eng hired in last 90 days",25,H6="AI initiative, internal copilot, or agent product announced",25,H6="Active API launch, developer portal rebuild, or Series B+ funding",20,H6="Hiring for docs, DevRel, or Developer Experience roles (last 60 days)",18,H6="Docs visibly stale vs. GitHub/release cadence",15,H6="Named account — no specific trigger identified yet",8,H6="No trigger — status quo appears comfortable",3,TRUE(),0),0)</f>
        <v>0</v>
      </c>
      <c r="W6" s="16" t="n">
        <f aca="false">IFERROR(ifs(I6="Building AI agents or copilots that query documentation",20,I6="Board-level AI mandate — knowledge infrastructure is a dependency",18,I6="AI/ML company or public AI roadmap announced",16,I6="PLG or SaaS with AI features in development — docs readiness unclear",12,I6="AI-aware but no documentation dependency identified",7,I6="No AI strategy signal",3,TRUE(),0),0)</f>
        <v>0</v>
      </c>
      <c r="X6" s="16" t="n">
        <f aca="false">IFERROR(ifs(J6="Inbound interest + Champion with confirmed EB access",15,J6="Inbound interest + contact identified (champion status unconfirmed)",12,J6="Warm intro or referral available + contact identified",9,J6="Cold outbound — contact identified, no existing relationship",5,J6="Cold outbound — no contact identified yet",2,TRUE(),0),0)</f>
        <v>0</v>
      </c>
    </row>
    <row r="7" customFormat="false" ht="45.75" hidden="false" customHeight="true" outlineLevel="0" collapsed="false">
      <c r="A7" s="17" t="s">
        <v>43</v>
      </c>
      <c r="B7" s="17" t="s">
        <v>27</v>
      </c>
      <c r="C7" s="17" t="s">
        <v>44</v>
      </c>
      <c r="D7" s="17" t="s">
        <v>45</v>
      </c>
      <c r="E7" s="17" t="s">
        <v>46</v>
      </c>
      <c r="F7" s="13" t="s">
        <v>31</v>
      </c>
      <c r="G7" s="13" t="s">
        <v>47</v>
      </c>
      <c r="H7" s="13" t="s">
        <v>33</v>
      </c>
      <c r="I7" s="13" t="s">
        <v>48</v>
      </c>
      <c r="J7" s="13" t="s">
        <v>35</v>
      </c>
      <c r="K7" s="14" t="n">
        <f aca="false">IFERROR(IF(F7="","",T7+U7+V7+W7+X7),"")</f>
        <v>0</v>
      </c>
      <c r="L7" s="18" t="str">
        <f aca="false">IFERROR(IF(K7="","",IF(K7&gt;=80,"🟢 Tier 1",IF(K7&gt;=60,"🟡 Tier 2",IF(K7&gt;=40,"⚪ Tier 3","🔴 Depr.")))),"")</f>
        <v>🔴 Depr.</v>
      </c>
      <c r="M7" s="17" t="s">
        <v>49</v>
      </c>
      <c r="N7" s="17" t="s">
        <v>37</v>
      </c>
      <c r="O7" s="17" t="s">
        <v>50</v>
      </c>
      <c r="P7" s="17" t="s">
        <v>39</v>
      </c>
      <c r="Q7" s="17" t="s">
        <v>51</v>
      </c>
      <c r="R7" s="17" t="s">
        <v>52</v>
      </c>
      <c r="S7" s="17" t="s">
        <v>42</v>
      </c>
      <c r="T7" s="16" t="n">
        <f aca="false">IFERROR(ifs(F7="AI/ML or FinTech — developer-facing API product",20,F7="Developer Tools / Infrastructure company",17,F7="SaaS or PLG — 500+ engineer org",15,F7="Enterprise Tech — AI mandate, 5,000+ employees",14,F7="General SaaS — some developer-facing components",10,F7="Poor fit — minimal API or engineering exposure",5,TRUE(),0),0)</f>
        <v>0</v>
      </c>
      <c r="U7" s="16" t="n">
        <f aca="false">IFERROR(ifs(G7="Confluence / SharePoint / Homegrown + external docs + visibly stale",20,G7="Confluence / SharePoint / Homegrown + external docs present",17,G7="Confluence / SharePoint / Homegrown — docs status unknown",14,G7="Notion or GitBook — external developer docs present",12,G7="ReadMe — incumbent API docs tool",10,G7="Current tool unknown — research needed",5,TRUE(),0),0)</f>
        <v>0</v>
      </c>
      <c r="V7" s="16" t="n">
        <f aca="false">IFERROR(ifs(H7="New CTO or VP Eng hired in last 90 days",25,H7="AI initiative, internal copilot, or agent product announced",25,H7="Active API launch, developer portal rebuild, or Series B+ funding",20,H7="Hiring for docs, DevRel, or Developer Experience roles (last 60 days)",18,H7="Docs visibly stale vs. GitHub/release cadence",15,H7="Named account — no specific trigger identified yet",8,H7="No trigger — status quo appears comfortable",3,TRUE(),0),0)</f>
        <v>0</v>
      </c>
      <c r="W7" s="16" t="n">
        <f aca="false">IFERROR(ifs(I7="Building AI agents or copilots that query documentation",20,I7="Board-level AI mandate — knowledge infrastructure is a dependency",18,I7="AI/ML company or public AI roadmap announced",16,I7="PLG or SaaS with AI features in development — docs readiness unclear",12,I7="AI-aware but no documentation dependency identified",7,I7="No AI strategy signal",3,TRUE(),0),0)</f>
        <v>0</v>
      </c>
      <c r="X7" s="16" t="n">
        <f aca="false">IFERROR(ifs(J7="Inbound interest + Champion with confirmed EB access",15,J7="Inbound interest + contact identified (champion status unconfirmed)",12,J7="Warm intro or referral available + contact identified",9,J7="Cold outbound — contact identified, no existing relationship",5,J7="Cold outbound — no contact identified yet",2,TRUE(),0),0)</f>
        <v>0</v>
      </c>
    </row>
    <row r="8" customFormat="false" ht="45.75" hidden="false" customHeight="true" outlineLevel="0" collapsed="false">
      <c r="A8" s="12" t="s">
        <v>53</v>
      </c>
      <c r="B8" s="12" t="s">
        <v>54</v>
      </c>
      <c r="C8" s="12" t="s">
        <v>44</v>
      </c>
      <c r="D8" s="12" t="s">
        <v>55</v>
      </c>
      <c r="E8" s="12" t="s">
        <v>56</v>
      </c>
      <c r="F8" s="13" t="s">
        <v>31</v>
      </c>
      <c r="G8" s="13" t="s">
        <v>57</v>
      </c>
      <c r="H8" s="13" t="s">
        <v>58</v>
      </c>
      <c r="I8" s="13" t="s">
        <v>59</v>
      </c>
      <c r="J8" s="13" t="s">
        <v>35</v>
      </c>
      <c r="K8" s="14" t="n">
        <f aca="false">IFERROR(IF(F8="","",T8+U8+V8+W8+X8),"")</f>
        <v>0</v>
      </c>
      <c r="L8" s="15" t="str">
        <f aca="false">IFERROR(IF(K8="","",IF(K8&gt;=80,"🟢 Tier 1",IF(K8&gt;=60,"🟡 Tier 2",IF(K8&gt;=40,"⚪ Tier 3","🔴 Depr.")))),"")</f>
        <v>🔴 Depr.</v>
      </c>
      <c r="M8" s="12" t="s">
        <v>60</v>
      </c>
      <c r="N8" s="12" t="s">
        <v>37</v>
      </c>
      <c r="O8" s="12" t="s">
        <v>61</v>
      </c>
      <c r="P8" s="12" t="s">
        <v>39</v>
      </c>
      <c r="Q8" s="12" t="s">
        <v>62</v>
      </c>
      <c r="R8" s="12" t="s">
        <v>63</v>
      </c>
      <c r="S8" s="12" t="s">
        <v>42</v>
      </c>
      <c r="T8" s="16" t="n">
        <f aca="false">IFERROR(ifs(F8="AI/ML or FinTech — developer-facing API product",20,F8="Developer Tools / Infrastructure company",17,F8="SaaS or PLG — 500+ engineer org",15,F8="Enterprise Tech — AI mandate, 5,000+ employees",14,F8="General SaaS — some developer-facing components",10,F8="Poor fit — minimal API or engineering exposure",5,TRUE(),0),0)</f>
        <v>0</v>
      </c>
      <c r="U8" s="16" t="n">
        <f aca="false">IFERROR(ifs(G8="Confluence / SharePoint / Homegrown + external docs + visibly stale",20,G8="Confluence / SharePoint / Homegrown + external docs present",17,G8="Confluence / SharePoint / Homegrown — docs status unknown",14,G8="Notion or GitBook — external developer docs present",12,G8="ReadMe — incumbent API docs tool",10,G8="Current tool unknown — research needed",5,TRUE(),0),0)</f>
        <v>0</v>
      </c>
      <c r="V8" s="16" t="n">
        <f aca="false">IFERROR(ifs(H8="New CTO or VP Eng hired in last 90 days",25,H8="AI initiative, internal copilot, or agent product announced",25,H8="Active API launch, developer portal rebuild, or Series B+ funding",20,H8="Hiring for docs, DevRel, or Developer Experience roles (last 60 days)",18,H8="Docs visibly stale vs. GitHub/release cadence",15,H8="Named account — no specific trigger identified yet",8,H8="No trigger — status quo appears comfortable",3,TRUE(),0),0)</f>
        <v>0</v>
      </c>
      <c r="W8" s="16" t="n">
        <f aca="false">IFERROR(ifs(I8="Building AI agents or copilots that query documentation",20,I8="Board-level AI mandate — knowledge infrastructure is a dependency",18,I8="AI/ML company or public AI roadmap announced",16,I8="PLG or SaaS with AI features in development — docs readiness unclear",12,I8="AI-aware but no documentation dependency identified",7,I8="No AI strategy signal",3,TRUE(),0),0)</f>
        <v>0</v>
      </c>
      <c r="X8" s="16" t="n">
        <f aca="false">IFERROR(ifs(J8="Inbound interest + Champion with confirmed EB access",15,J8="Inbound interest + contact identified (champion status unconfirmed)",12,J8="Warm intro or referral available + contact identified",9,J8="Cold outbound — contact identified, no existing relationship",5,J8="Cold outbound — no contact identified yet",2,TRUE(),0),0)</f>
        <v>0</v>
      </c>
    </row>
    <row r="9" customFormat="false" ht="45.75" hidden="false" customHeight="true" outlineLevel="0" collapsed="false">
      <c r="A9" s="17" t="s">
        <v>64</v>
      </c>
      <c r="B9" s="17" t="s">
        <v>65</v>
      </c>
      <c r="C9" s="17" t="s">
        <v>44</v>
      </c>
      <c r="D9" s="17" t="s">
        <v>66</v>
      </c>
      <c r="E9" s="17" t="s">
        <v>46</v>
      </c>
      <c r="F9" s="13" t="s">
        <v>67</v>
      </c>
      <c r="G9" s="13" t="s">
        <v>32</v>
      </c>
      <c r="H9" s="13" t="s">
        <v>68</v>
      </c>
      <c r="I9" s="13" t="s">
        <v>69</v>
      </c>
      <c r="J9" s="13" t="s">
        <v>35</v>
      </c>
      <c r="K9" s="14" t="n">
        <f aca="false">IFERROR(IF(F9="","",T9+U9+V9+W9+X9),"")</f>
        <v>0</v>
      </c>
      <c r="L9" s="18" t="str">
        <f aca="false">IFERROR(IF(K9="","",IF(K9&gt;=80,"🟢 Tier 1",IF(K9&gt;=60,"🟡 Tier 2",IF(K9&gt;=40,"⚪ Tier 3","🔴 Depr.")))),"")</f>
        <v>🔴 Depr.</v>
      </c>
      <c r="M9" s="17" t="s">
        <v>70</v>
      </c>
      <c r="N9" s="17" t="s">
        <v>37</v>
      </c>
      <c r="O9" s="17" t="s">
        <v>71</v>
      </c>
      <c r="P9" s="17" t="s">
        <v>39</v>
      </c>
      <c r="Q9" s="17" t="s">
        <v>72</v>
      </c>
      <c r="R9" s="17" t="s">
        <v>73</v>
      </c>
      <c r="S9" s="17" t="s">
        <v>42</v>
      </c>
      <c r="T9" s="16" t="n">
        <f aca="false">IFERROR(ifs(F9="AI/ML or FinTech — developer-facing API product",20,F9="Developer Tools / Infrastructure company",17,F9="SaaS or PLG — 500+ engineer org",15,F9="Enterprise Tech — AI mandate, 5,000+ employees",14,F9="General SaaS — some developer-facing components",10,F9="Poor fit — minimal API or engineering exposure",5,TRUE(),0),0)</f>
        <v>0</v>
      </c>
      <c r="U9" s="16" t="n">
        <f aca="false">IFERROR(ifs(G9="Confluence / SharePoint / Homegrown + external docs + visibly stale",20,G9="Confluence / SharePoint / Homegrown + external docs present",17,G9="Confluence / SharePoint / Homegrown — docs status unknown",14,G9="Notion or GitBook — external developer docs present",12,G9="ReadMe — incumbent API docs tool",10,G9="Current tool unknown — research needed",5,TRUE(),0),0)</f>
        <v>0</v>
      </c>
      <c r="V9" s="16" t="n">
        <f aca="false">IFERROR(ifs(H9="New CTO or VP Eng hired in last 90 days",25,H9="AI initiative, internal copilot, or agent product announced",25,H9="Active API launch, developer portal rebuild, or Series B+ funding",20,H9="Hiring for docs, DevRel, or Developer Experience roles (last 60 days)",18,H9="Docs visibly stale vs. GitHub/release cadence",15,H9="Named account — no specific trigger identified yet",8,H9="No trigger — status quo appears comfortable",3,TRUE(),0),0)</f>
        <v>0</v>
      </c>
      <c r="W9" s="16" t="n">
        <f aca="false">IFERROR(ifs(I9="Building AI agents or copilots that query documentation",20,I9="Board-level AI mandate — knowledge infrastructure is a dependency",18,I9="AI/ML company or public AI roadmap announced",16,I9="PLG or SaaS with AI features in development — docs readiness unclear",12,I9="AI-aware but no documentation dependency identified",7,I9="No AI strategy signal",3,TRUE(),0),0)</f>
        <v>0</v>
      </c>
      <c r="X9" s="16" t="n">
        <f aca="false">IFERROR(ifs(J9="Inbound interest + Champion with confirmed EB access",15,J9="Inbound interest + contact identified (champion status unconfirmed)",12,J9="Warm intro or referral available + contact identified",9,J9="Cold outbound — contact identified, no existing relationship",5,J9="Cold outbound — no contact identified yet",2,TRUE(),0),0)</f>
        <v>0</v>
      </c>
    </row>
    <row r="10" customFormat="false" ht="45.75" hidden="false" customHeight="true" outlineLevel="0" collapsed="false">
      <c r="A10" s="12" t="s">
        <v>74</v>
      </c>
      <c r="B10" s="12" t="s">
        <v>65</v>
      </c>
      <c r="C10" s="12" t="s">
        <v>44</v>
      </c>
      <c r="D10" s="12" t="s">
        <v>55</v>
      </c>
      <c r="E10" s="12" t="s">
        <v>46</v>
      </c>
      <c r="F10" s="13" t="s">
        <v>67</v>
      </c>
      <c r="G10" s="13" t="s">
        <v>32</v>
      </c>
      <c r="H10" s="13" t="s">
        <v>75</v>
      </c>
      <c r="I10" s="13" t="s">
        <v>48</v>
      </c>
      <c r="J10" s="13" t="s">
        <v>35</v>
      </c>
      <c r="K10" s="14" t="n">
        <f aca="false">IFERROR(IF(F10="","",T10+U10+V10+W10+X10),"")</f>
        <v>0</v>
      </c>
      <c r="L10" s="15" t="str">
        <f aca="false">IFERROR(IF(K10="","",IF(K10&gt;=80,"🟢 Tier 1",IF(K10&gt;=60,"🟡 Tier 2",IF(K10&gt;=40,"⚪ Tier 3","🔴 Depr.")))),"")</f>
        <v>🔴 Depr.</v>
      </c>
      <c r="M10" s="12" t="s">
        <v>76</v>
      </c>
      <c r="N10" s="12" t="s">
        <v>37</v>
      </c>
      <c r="O10" s="12" t="s">
        <v>77</v>
      </c>
      <c r="P10" s="12" t="s">
        <v>39</v>
      </c>
      <c r="Q10" s="12" t="s">
        <v>78</v>
      </c>
      <c r="R10" s="12" t="s">
        <v>79</v>
      </c>
      <c r="S10" s="12" t="s">
        <v>42</v>
      </c>
      <c r="T10" s="16" t="n">
        <f aca="false">IFERROR(ifs(F10="AI/ML or FinTech — developer-facing API product",20,F10="Developer Tools / Infrastructure company",17,F10="SaaS or PLG — 500+ engineer org",15,F10="Enterprise Tech — AI mandate, 5,000+ employees",14,F10="General SaaS — some developer-facing components",10,F10="Poor fit — minimal API or engineering exposure",5,TRUE(),0),0)</f>
        <v>0</v>
      </c>
      <c r="U10" s="16" t="n">
        <f aca="false">IFERROR(ifs(G10="Confluence / SharePoint / Homegrown + external docs + visibly stale",20,G10="Confluence / SharePoint / Homegrown + external docs present",17,G10="Confluence / SharePoint / Homegrown — docs status unknown",14,G10="Notion or GitBook — external developer docs present",12,G10="ReadMe — incumbent API docs tool",10,G10="Current tool unknown — research needed",5,TRUE(),0),0)</f>
        <v>0</v>
      </c>
      <c r="V10" s="16" t="n">
        <f aca="false">IFERROR(ifs(H10="New CTO or VP Eng hired in last 90 days",25,H10="AI initiative, internal copilot, or agent product announced",25,H10="Active API launch, developer portal rebuild, or Series B+ funding",20,H10="Hiring for docs, DevRel, or Developer Experience roles (last 60 days)",18,H10="Docs visibly stale vs. GitHub/release cadence",15,H10="Named account — no specific trigger identified yet",8,H10="No trigger — status quo appears comfortable",3,TRUE(),0),0)</f>
        <v>0</v>
      </c>
      <c r="W10" s="16" t="n">
        <f aca="false">IFERROR(ifs(I10="Building AI agents or copilots that query documentation",20,I10="Board-level AI mandate — knowledge infrastructure is a dependency",18,I10="AI/ML company or public AI roadmap announced",16,I10="PLG or SaaS with AI features in development — docs readiness unclear",12,I10="AI-aware but no documentation dependency identified",7,I10="No AI strategy signal",3,TRUE(),0),0)</f>
        <v>0</v>
      </c>
      <c r="X10" s="16" t="n">
        <f aca="false">IFERROR(ifs(J10="Inbound interest + Champion with confirmed EB access",15,J10="Inbound interest + contact identified (champion status unconfirmed)",12,J10="Warm intro or referral available + contact identified",9,J10="Cold outbound — contact identified, no existing relationship",5,J10="Cold outbound — no contact identified yet",2,TRUE(),0),0)</f>
        <v>0</v>
      </c>
    </row>
    <row r="11" customFormat="false" ht="45.75" hidden="false" customHeight="true" outlineLevel="0" collapsed="false">
      <c r="A11" s="17" t="s">
        <v>80</v>
      </c>
      <c r="B11" s="17" t="s">
        <v>81</v>
      </c>
      <c r="C11" s="17" t="s">
        <v>28</v>
      </c>
      <c r="D11" s="17" t="s">
        <v>82</v>
      </c>
      <c r="E11" s="17" t="s">
        <v>56</v>
      </c>
      <c r="F11" s="13" t="s">
        <v>83</v>
      </c>
      <c r="G11" s="13" t="s">
        <v>84</v>
      </c>
      <c r="H11" s="13" t="s">
        <v>58</v>
      </c>
      <c r="I11" s="13" t="s">
        <v>34</v>
      </c>
      <c r="J11" s="13" t="s">
        <v>35</v>
      </c>
      <c r="K11" s="14" t="n">
        <f aca="false">IFERROR(IF(F11="","",T11+U11+V11+W11+X11),"")</f>
        <v>0</v>
      </c>
      <c r="L11" s="18" t="str">
        <f aca="false">IFERROR(IF(K11="","",IF(K11&gt;=80,"🟢 Tier 1",IF(K11&gt;=60,"🟡 Tier 2",IF(K11&gt;=40,"⚪ Tier 3","🔴 Depr.")))),"")</f>
        <v>🔴 Depr.</v>
      </c>
      <c r="M11" s="17" t="s">
        <v>85</v>
      </c>
      <c r="N11" s="17" t="s">
        <v>37</v>
      </c>
      <c r="O11" s="17" t="s">
        <v>86</v>
      </c>
      <c r="P11" s="17" t="s">
        <v>39</v>
      </c>
      <c r="Q11" s="17" t="s">
        <v>87</v>
      </c>
      <c r="R11" s="17" t="s">
        <v>88</v>
      </c>
      <c r="S11" s="17" t="s">
        <v>42</v>
      </c>
      <c r="T11" s="16" t="n">
        <f aca="false">IFERROR(ifs(F11="AI/ML or FinTech — developer-facing API product",20,F11="Developer Tools / Infrastructure company",17,F11="SaaS or PLG — 500+ engineer org",15,F11="Enterprise Tech — AI mandate, 5,000+ employees",14,F11="General SaaS — some developer-facing components",10,F11="Poor fit — minimal API or engineering exposure",5,TRUE(),0),0)</f>
        <v>0</v>
      </c>
      <c r="U11" s="16" t="n">
        <f aca="false">IFERROR(ifs(G11="Confluence / SharePoint / Homegrown + external docs + visibly stale",20,G11="Confluence / SharePoint / Homegrown + external docs present",17,G11="Confluence / SharePoint / Homegrown — docs status unknown",14,G11="Notion or GitBook — external developer docs present",12,G11="ReadMe — incumbent API docs tool",10,G11="Current tool unknown — research needed",5,TRUE(),0),0)</f>
        <v>0</v>
      </c>
      <c r="V11" s="16" t="n">
        <f aca="false">IFERROR(ifs(H11="New CTO or VP Eng hired in last 90 days",25,H11="AI initiative, internal copilot, or agent product announced",25,H11="Active API launch, developer portal rebuild, or Series B+ funding",20,H11="Hiring for docs, DevRel, or Developer Experience roles (last 60 days)",18,H11="Docs visibly stale vs. GitHub/release cadence",15,H11="Named account — no specific trigger identified yet",8,H11="No trigger — status quo appears comfortable",3,TRUE(),0),0)</f>
        <v>0</v>
      </c>
      <c r="W11" s="16" t="n">
        <f aca="false">IFERROR(ifs(I11="Building AI agents or copilots that query documentation",20,I11="Board-level AI mandate — knowledge infrastructure is a dependency",18,I11="AI/ML company or public AI roadmap announced",16,I11="PLG or SaaS with AI features in development — docs readiness unclear",12,I11="AI-aware but no documentation dependency identified",7,I11="No AI strategy signal",3,TRUE(),0),0)</f>
        <v>0</v>
      </c>
      <c r="X11" s="16" t="n">
        <f aca="false">IFERROR(ifs(J11="Inbound interest + Champion with confirmed EB access",15,J11="Inbound interest + contact identified (champion status unconfirmed)",12,J11="Warm intro or referral available + contact identified",9,J11="Cold outbound — contact identified, no existing relationship",5,J11="Cold outbound — no contact identified yet",2,TRUE(),0),0)</f>
        <v>0</v>
      </c>
    </row>
    <row r="12" customFormat="false" ht="45.75" hidden="false" customHeight="true" outlineLevel="0" collapsed="false">
      <c r="A12" s="12" t="s">
        <v>89</v>
      </c>
      <c r="B12" s="12" t="s">
        <v>90</v>
      </c>
      <c r="C12" s="12" t="s">
        <v>44</v>
      </c>
      <c r="D12" s="12" t="s">
        <v>91</v>
      </c>
      <c r="E12" s="12" t="s">
        <v>92</v>
      </c>
      <c r="F12" s="13" t="s">
        <v>67</v>
      </c>
      <c r="G12" s="13" t="s">
        <v>93</v>
      </c>
      <c r="H12" s="13" t="s">
        <v>33</v>
      </c>
      <c r="I12" s="13" t="s">
        <v>48</v>
      </c>
      <c r="J12" s="13" t="s">
        <v>35</v>
      </c>
      <c r="K12" s="14" t="n">
        <f aca="false">IFERROR(IF(F12="","",T12+U12+V12+W12+X12),"")</f>
        <v>0</v>
      </c>
      <c r="L12" s="15" t="str">
        <f aca="false">IFERROR(IF(K12="","",IF(K12&gt;=80,"🟢 Tier 1",IF(K12&gt;=60,"🟡 Tier 2",IF(K12&gt;=40,"⚪ Tier 3","🔴 Depr.")))),"")</f>
        <v>🔴 Depr.</v>
      </c>
      <c r="M12" s="12" t="s">
        <v>94</v>
      </c>
      <c r="N12" s="12" t="s">
        <v>37</v>
      </c>
      <c r="O12" s="12" t="s">
        <v>95</v>
      </c>
      <c r="P12" s="12" t="s">
        <v>39</v>
      </c>
      <c r="Q12" s="12" t="s">
        <v>96</v>
      </c>
      <c r="R12" s="12" t="s">
        <v>97</v>
      </c>
      <c r="S12" s="12" t="s">
        <v>42</v>
      </c>
      <c r="T12" s="16" t="n">
        <f aca="false">IFERROR(ifs(F12="AI/ML or FinTech — developer-facing API product",20,F12="Developer Tools / Infrastructure company",17,F12="SaaS or PLG — 500+ engineer org",15,F12="Enterprise Tech — AI mandate, 5,000+ employees",14,F12="General SaaS — some developer-facing components",10,F12="Poor fit — minimal API or engineering exposure",5,TRUE(),0),0)</f>
        <v>0</v>
      </c>
      <c r="U12" s="16" t="n">
        <f aca="false">IFERROR(ifs(G12="Confluence / SharePoint / Homegrown + external docs + visibly stale",20,G12="Confluence / SharePoint / Homegrown + external docs present",17,G12="Confluence / SharePoint / Homegrown — docs status unknown",14,G12="Notion or GitBook — external developer docs present",12,G12="ReadMe — incumbent API docs tool",10,G12="Current tool unknown — research needed",5,TRUE(),0),0)</f>
        <v>0</v>
      </c>
      <c r="V12" s="16" t="n">
        <f aca="false">IFERROR(ifs(H12="New CTO or VP Eng hired in last 90 days",25,H12="AI initiative, internal copilot, or agent product announced",25,H12="Active API launch, developer portal rebuild, or Series B+ funding",20,H12="Hiring for docs, DevRel, or Developer Experience roles (last 60 days)",18,H12="Docs visibly stale vs. GitHub/release cadence",15,H12="Named account — no specific trigger identified yet",8,H12="No trigger — status quo appears comfortable",3,TRUE(),0),0)</f>
        <v>0</v>
      </c>
      <c r="W12" s="16" t="n">
        <f aca="false">IFERROR(ifs(I12="Building AI agents or copilots that query documentation",20,I12="Board-level AI mandate — knowledge infrastructure is a dependency",18,I12="AI/ML company or public AI roadmap announced",16,I12="PLG or SaaS with AI features in development — docs readiness unclear",12,I12="AI-aware but no documentation dependency identified",7,I12="No AI strategy signal",3,TRUE(),0),0)</f>
        <v>0</v>
      </c>
      <c r="X12" s="16" t="n">
        <f aca="false">IFERROR(ifs(J12="Inbound interest + Champion with confirmed EB access",15,J12="Inbound interest + contact identified (champion status unconfirmed)",12,J12="Warm intro or referral available + contact identified",9,J12="Cold outbound — contact identified, no existing relationship",5,J12="Cold outbound — no contact identified yet",2,TRUE(),0),0)</f>
        <v>0</v>
      </c>
    </row>
    <row r="13" customFormat="false" ht="45.75" hidden="false" customHeight="true" outlineLevel="0" collapsed="false">
      <c r="A13" s="17" t="s">
        <v>98</v>
      </c>
      <c r="B13" s="17" t="s">
        <v>27</v>
      </c>
      <c r="C13" s="17" t="s">
        <v>99</v>
      </c>
      <c r="D13" s="17" t="s">
        <v>100</v>
      </c>
      <c r="E13" s="17" t="s">
        <v>30</v>
      </c>
      <c r="F13" s="13" t="s">
        <v>31</v>
      </c>
      <c r="G13" s="13" t="s">
        <v>84</v>
      </c>
      <c r="H13" s="13" t="s">
        <v>75</v>
      </c>
      <c r="I13" s="13" t="s">
        <v>34</v>
      </c>
      <c r="J13" s="13" t="s">
        <v>35</v>
      </c>
      <c r="K13" s="14" t="n">
        <f aca="false">IFERROR(IF(F13="","",T13+U13+V13+W13+X13),"")</f>
        <v>0</v>
      </c>
      <c r="L13" s="18" t="str">
        <f aca="false">IFERROR(IF(K13="","",IF(K13&gt;=80,"🟢 Tier 1",IF(K13&gt;=60,"🟡 Tier 2",IF(K13&gt;=40,"⚪ Tier 3","🔴 Depr.")))),"")</f>
        <v>🔴 Depr.</v>
      </c>
      <c r="M13" s="17" t="s">
        <v>101</v>
      </c>
      <c r="N13" s="17" t="s">
        <v>37</v>
      </c>
      <c r="O13" s="17" t="s">
        <v>102</v>
      </c>
      <c r="P13" s="17" t="s">
        <v>39</v>
      </c>
      <c r="Q13" s="17" t="s">
        <v>103</v>
      </c>
      <c r="R13" s="17" t="s">
        <v>104</v>
      </c>
      <c r="S13" s="17" t="s">
        <v>42</v>
      </c>
      <c r="T13" s="16" t="n">
        <f aca="false">IFERROR(ifs(F13="AI/ML or FinTech — developer-facing API product",20,F13="Developer Tools / Infrastructure company",17,F13="SaaS or PLG — 500+ engineer org",15,F13="Enterprise Tech — AI mandate, 5,000+ employees",14,F13="General SaaS — some developer-facing components",10,F13="Poor fit — minimal API or engineering exposure",5,TRUE(),0),0)</f>
        <v>0</v>
      </c>
      <c r="U13" s="16" t="n">
        <f aca="false">IFERROR(ifs(G13="Confluence / SharePoint / Homegrown + external docs + visibly stale",20,G13="Confluence / SharePoint / Homegrown + external docs present",17,G13="Confluence / SharePoint / Homegrown — docs status unknown",14,G13="Notion or GitBook — external developer docs present",12,G13="ReadMe — incumbent API docs tool",10,G13="Current tool unknown — research needed",5,TRUE(),0),0)</f>
        <v>0</v>
      </c>
      <c r="V13" s="16" t="n">
        <f aca="false">IFERROR(ifs(H13="New CTO or VP Eng hired in last 90 days",25,H13="AI initiative, internal copilot, or agent product announced",25,H13="Active API launch, developer portal rebuild, or Series B+ funding",20,H13="Hiring for docs, DevRel, or Developer Experience roles (last 60 days)",18,H13="Docs visibly stale vs. GitHub/release cadence",15,H13="Named account — no specific trigger identified yet",8,H13="No trigger — status quo appears comfortable",3,TRUE(),0),0)</f>
        <v>0</v>
      </c>
      <c r="W13" s="16" t="n">
        <f aca="false">IFERROR(ifs(I13="Building AI agents or copilots that query documentation",20,I13="Board-level AI mandate — knowledge infrastructure is a dependency",18,I13="AI/ML company or public AI roadmap announced",16,I13="PLG or SaaS with AI features in development — docs readiness unclear",12,I13="AI-aware but no documentation dependency identified",7,I13="No AI strategy signal",3,TRUE(),0),0)</f>
        <v>0</v>
      </c>
      <c r="X13" s="16" t="n">
        <f aca="false">IFERROR(ifs(J13="Inbound interest + Champion with confirmed EB access",15,J13="Inbound interest + contact identified (champion status unconfirmed)",12,J13="Warm intro or referral available + contact identified",9,J13="Cold outbound — contact identified, no existing relationship",5,J13="Cold outbound — no contact identified yet",2,TRUE(),0),0)</f>
        <v>0</v>
      </c>
    </row>
    <row r="14" customFormat="false" ht="45.75" hidden="false" customHeight="true" outlineLevel="0" collapsed="false">
      <c r="A14" s="12" t="s">
        <v>105</v>
      </c>
      <c r="B14" s="12" t="s">
        <v>106</v>
      </c>
      <c r="C14" s="12" t="s">
        <v>107</v>
      </c>
      <c r="D14" s="12" t="s">
        <v>108</v>
      </c>
      <c r="E14" s="12" t="s">
        <v>46</v>
      </c>
      <c r="F14" s="13" t="s">
        <v>109</v>
      </c>
      <c r="G14" s="13" t="s">
        <v>32</v>
      </c>
      <c r="H14" s="13" t="s">
        <v>75</v>
      </c>
      <c r="I14" s="13" t="s">
        <v>69</v>
      </c>
      <c r="J14" s="13" t="s">
        <v>35</v>
      </c>
      <c r="K14" s="14" t="n">
        <f aca="false">IFERROR(IF(F14="","",T14+U14+V14+W14+X14),"")</f>
        <v>0</v>
      </c>
      <c r="L14" s="15" t="str">
        <f aca="false">IFERROR(IF(K14="","",IF(K14&gt;=80,"🟢 Tier 1",IF(K14&gt;=60,"🟡 Tier 2",IF(K14&gt;=40,"⚪ Tier 3","🔴 Depr.")))),"")</f>
        <v>🔴 Depr.</v>
      </c>
      <c r="M14" s="12" t="s">
        <v>76</v>
      </c>
      <c r="N14" s="12" t="s">
        <v>37</v>
      </c>
      <c r="O14" s="12" t="s">
        <v>110</v>
      </c>
      <c r="P14" s="12" t="s">
        <v>39</v>
      </c>
      <c r="Q14" s="12" t="s">
        <v>111</v>
      </c>
      <c r="R14" s="12" t="s">
        <v>112</v>
      </c>
      <c r="S14" s="12" t="s">
        <v>42</v>
      </c>
      <c r="T14" s="16" t="n">
        <f aca="false">IFERROR(ifs(F14="AI/ML or FinTech — developer-facing API product",20,F14="Developer Tools / Infrastructure company",17,F14="SaaS or PLG — 500+ engineer org",15,F14="Enterprise Tech — AI mandate, 5,000+ employees",14,F14="General SaaS — some developer-facing components",10,F14="Poor fit — minimal API or engineering exposure",5,TRUE(),0),0)</f>
        <v>0</v>
      </c>
      <c r="U14" s="16" t="n">
        <f aca="false">IFERROR(ifs(G14="Confluence / SharePoint / Homegrown + external docs + visibly stale",20,G14="Confluence / SharePoint / Homegrown + external docs present",17,G14="Confluence / SharePoint / Homegrown — docs status unknown",14,G14="Notion or GitBook — external developer docs present",12,G14="ReadMe — incumbent API docs tool",10,G14="Current tool unknown — research needed",5,TRUE(),0),0)</f>
        <v>0</v>
      </c>
      <c r="V14" s="16" t="n">
        <f aca="false">IFERROR(ifs(H14="New CTO or VP Eng hired in last 90 days",25,H14="AI initiative, internal copilot, or agent product announced",25,H14="Active API launch, developer portal rebuild, or Series B+ funding",20,H14="Hiring for docs, DevRel, or Developer Experience roles (last 60 days)",18,H14="Docs visibly stale vs. GitHub/release cadence",15,H14="Named account — no specific trigger identified yet",8,H14="No trigger — status quo appears comfortable",3,TRUE(),0),0)</f>
        <v>0</v>
      </c>
      <c r="W14" s="16" t="n">
        <f aca="false">IFERROR(ifs(I14="Building AI agents or copilots that query documentation",20,I14="Board-level AI mandate — knowledge infrastructure is a dependency",18,I14="AI/ML company or public AI roadmap announced",16,I14="PLG or SaaS with AI features in development — docs readiness unclear",12,I14="AI-aware but no documentation dependency identified",7,I14="No AI strategy signal",3,TRUE(),0),0)</f>
        <v>0</v>
      </c>
      <c r="X14" s="16" t="n">
        <f aca="false">IFERROR(ifs(J14="Inbound interest + Champion with confirmed EB access",15,J14="Inbound interest + contact identified (champion status unconfirmed)",12,J14="Warm intro or referral available + contact identified",9,J14="Cold outbound — contact identified, no existing relationship",5,J14="Cold outbound — no contact identified yet",2,TRUE(),0),0)</f>
        <v>0</v>
      </c>
    </row>
    <row r="15" customFormat="false" ht="45.75" hidden="false" customHeight="true" outlineLevel="0" collapsed="false">
      <c r="A15" s="17" t="s">
        <v>113</v>
      </c>
      <c r="B15" s="17" t="s">
        <v>114</v>
      </c>
      <c r="C15" s="17" t="s">
        <v>28</v>
      </c>
      <c r="D15" s="17" t="s">
        <v>115</v>
      </c>
      <c r="E15" s="17" t="s">
        <v>46</v>
      </c>
      <c r="F15" s="13" t="s">
        <v>83</v>
      </c>
      <c r="G15" s="13" t="s">
        <v>84</v>
      </c>
      <c r="H15" s="13" t="s">
        <v>58</v>
      </c>
      <c r="I15" s="13" t="s">
        <v>34</v>
      </c>
      <c r="J15" s="13" t="s">
        <v>116</v>
      </c>
      <c r="K15" s="14" t="n">
        <f aca="false">IFERROR(IF(F15="","",T15+U15+V15+W15+X15),"")</f>
        <v>0</v>
      </c>
      <c r="L15" s="18" t="str">
        <f aca="false">IFERROR(IF(K15="","",IF(K15&gt;=80,"🟢 Tier 1",IF(K15&gt;=60,"🟡 Tier 2",IF(K15&gt;=40,"⚪ Tier 3","🔴 Depr.")))),"")</f>
        <v>🔴 Depr.</v>
      </c>
      <c r="M15" s="17" t="s">
        <v>117</v>
      </c>
      <c r="N15" s="17" t="s">
        <v>37</v>
      </c>
      <c r="O15" s="17" t="s">
        <v>118</v>
      </c>
      <c r="P15" s="17" t="s">
        <v>39</v>
      </c>
      <c r="Q15" s="17" t="s">
        <v>119</v>
      </c>
      <c r="R15" s="17" t="s">
        <v>120</v>
      </c>
      <c r="S15" s="17" t="s">
        <v>42</v>
      </c>
      <c r="T15" s="16" t="n">
        <f aca="false">IFERROR(ifs(F15="AI/ML or FinTech — developer-facing API product",20,F15="Developer Tools / Infrastructure company",17,F15="SaaS or PLG — 500+ engineer org",15,F15="Enterprise Tech — AI mandate, 5,000+ employees",14,F15="General SaaS — some developer-facing components",10,F15="Poor fit — minimal API or engineering exposure",5,TRUE(),0),0)</f>
        <v>0</v>
      </c>
      <c r="U15" s="16" t="n">
        <f aca="false">IFERROR(ifs(G15="Confluence / SharePoint / Homegrown + external docs + visibly stale",20,G15="Confluence / SharePoint / Homegrown + external docs present",17,G15="Confluence / SharePoint / Homegrown — docs status unknown",14,G15="Notion or GitBook — external developer docs present",12,G15="ReadMe — incumbent API docs tool",10,G15="Current tool unknown — research needed",5,TRUE(),0),0)</f>
        <v>0</v>
      </c>
      <c r="V15" s="16" t="n">
        <f aca="false">IFERROR(ifs(H15="New CTO or VP Eng hired in last 90 days",25,H15="AI initiative, internal copilot, or agent product announced",25,H15="Active API launch, developer portal rebuild, or Series B+ funding",20,H15="Hiring for docs, DevRel, or Developer Experience roles (last 60 days)",18,H15="Docs visibly stale vs. GitHub/release cadence",15,H15="Named account — no specific trigger identified yet",8,H15="No trigger — status quo appears comfortable",3,TRUE(),0),0)</f>
        <v>0</v>
      </c>
      <c r="W15" s="16" t="n">
        <f aca="false">IFERROR(ifs(I15="Building AI agents or copilots that query documentation",20,I15="Board-level AI mandate — knowledge infrastructure is a dependency",18,I15="AI/ML company or public AI roadmap announced",16,I15="PLG or SaaS with AI features in development — docs readiness unclear",12,I15="AI-aware but no documentation dependency identified",7,I15="No AI strategy signal",3,TRUE(),0),0)</f>
        <v>0</v>
      </c>
      <c r="X15" s="16" t="n">
        <f aca="false">IFERROR(ifs(J15="Inbound interest + Champion with confirmed EB access",15,J15="Inbound interest + contact identified (champion status unconfirmed)",12,J15="Warm intro or referral available + contact identified",9,J15="Cold outbound — contact identified, no existing relationship",5,J15="Cold outbound — no contact identified yet",2,TRUE(),0),0)</f>
        <v>0</v>
      </c>
    </row>
    <row r="16" customFormat="false" ht="45.75" hidden="false" customHeight="true" outlineLevel="0" collapsed="false">
      <c r="A16" s="12" t="s">
        <v>121</v>
      </c>
      <c r="B16" s="12"/>
      <c r="C16" s="12"/>
      <c r="D16" s="12"/>
      <c r="E16" s="12"/>
      <c r="F16" s="13"/>
      <c r="G16" s="13"/>
      <c r="H16" s="13"/>
      <c r="I16" s="13"/>
      <c r="J16" s="13"/>
      <c r="K16" s="14" t="str">
        <f aca="false">IFERROR(IF(F16="","",T16+U16+V16+W16+X16),"")</f>
        <v/>
      </c>
      <c r="L16" s="15" t="str">
        <f aca="false">IFERROR(IF(K16="","",IF(K16&gt;=80,"🟢 Tier 1",IF(K16&gt;=60,"🟡 Tier 2",IF(K16&gt;=40,"⚪ Tier 3","🔴 Depr.")))),"")</f>
        <v/>
      </c>
      <c r="M16" s="12"/>
      <c r="N16" s="12"/>
      <c r="O16" s="12"/>
      <c r="P16" s="12"/>
      <c r="Q16" s="12"/>
      <c r="R16" s="12"/>
      <c r="S16" s="12"/>
      <c r="T16" s="16" t="n">
        <f aca="false">IFERROR(ifs(F16="AI/ML or FinTech — developer-facing API product",20,F16="Developer Tools / Infrastructure company",17,F16="SaaS or PLG — 500+ engineer org",15,F16="Enterprise Tech — AI mandate, 5,000+ employees",14,F16="General SaaS — some developer-facing components",10,F16="Poor fit — minimal API or engineering exposure",5,TRUE(),0),0)</f>
        <v>0</v>
      </c>
      <c r="U16" s="16" t="n">
        <f aca="false">IFERROR(ifs(G16="Confluence / SharePoint / Homegrown + external docs + visibly stale",20,G16="Confluence / SharePoint / Homegrown + external docs present",17,G16="Confluence / SharePoint / Homegrown — docs status unknown",14,G16="Notion or GitBook — external developer docs present",12,G16="ReadMe — incumbent API docs tool",10,G16="Current tool unknown — research needed",5,TRUE(),0),0)</f>
        <v>0</v>
      </c>
      <c r="V16" s="16" t="n">
        <f aca="false">IFERROR(ifs(H16="New CTO or VP Eng hired in last 90 days",25,H16="AI initiative, internal copilot, or agent product announced",25,H16="Active API launch, developer portal rebuild, or Series B+ funding",20,H16="Hiring for docs, DevRel, or Developer Experience roles (last 60 days)",18,H16="Docs visibly stale vs. GitHub/release cadence",15,H16="Named account — no specific trigger identified yet",8,H16="No trigger — status quo appears comfortable",3,TRUE(),0),0)</f>
        <v>0</v>
      </c>
      <c r="W16" s="16" t="n">
        <f aca="false">IFERROR(ifs(I16="Building AI agents or copilots that query documentation",20,I16="Board-level AI mandate — knowledge infrastructure is a dependency",18,I16="AI/ML company or public AI roadmap announced",16,I16="PLG or SaaS with AI features in development — docs readiness unclear",12,I16="AI-aware but no documentation dependency identified",7,I16="No AI strategy signal",3,TRUE(),0),0)</f>
        <v>0</v>
      </c>
      <c r="X16" s="16" t="n">
        <f aca="false">IFERROR(ifs(J16="Inbound interest + Champion with confirmed EB access",15,J16="Inbound interest + contact identified (champion status unconfirmed)",12,J16="Warm intro or referral available + contact identified",9,J16="Cold outbound — contact identified, no existing relationship",5,J16="Cold outbound — no contact identified yet",2,TRUE(),0),0)</f>
        <v>0</v>
      </c>
    </row>
    <row r="17" customFormat="false" ht="45.75" hidden="false" customHeight="true" outlineLevel="0" collapsed="false">
      <c r="A17" s="17" t="s">
        <v>121</v>
      </c>
      <c r="B17" s="17"/>
      <c r="C17" s="17"/>
      <c r="D17" s="17"/>
      <c r="E17" s="17"/>
      <c r="F17" s="13"/>
      <c r="G17" s="13"/>
      <c r="H17" s="13"/>
      <c r="I17" s="13"/>
      <c r="J17" s="13"/>
      <c r="K17" s="14" t="str">
        <f aca="false">IFERROR(IF(F17="","",T17+U17+V17+W17+X17),"")</f>
        <v/>
      </c>
      <c r="L17" s="18" t="str">
        <f aca="false">IFERROR(IF(K17="","",IF(K17&gt;=80,"🟢 Tier 1",IF(K17&gt;=60,"🟡 Tier 2",IF(K17&gt;=40,"⚪ Tier 3","🔴 Depr.")))),"")</f>
        <v/>
      </c>
      <c r="M17" s="17"/>
      <c r="N17" s="17"/>
      <c r="O17" s="17"/>
      <c r="P17" s="17"/>
      <c r="Q17" s="17"/>
      <c r="R17" s="17"/>
      <c r="S17" s="17"/>
      <c r="T17" s="16" t="n">
        <f aca="false">IFERROR(ifs(F17="AI/ML or FinTech — developer-facing API product",20,F17="Developer Tools / Infrastructure company",17,F17="SaaS or PLG — 500+ engineer org",15,F17="Enterprise Tech — AI mandate, 5,000+ employees",14,F17="General SaaS — some developer-facing components",10,F17="Poor fit — minimal API or engineering exposure",5,TRUE(),0),0)</f>
        <v>0</v>
      </c>
      <c r="U17" s="16" t="n">
        <f aca="false">IFERROR(ifs(G17="Confluence / SharePoint / Homegrown + external docs + visibly stale",20,G17="Confluence / SharePoint / Homegrown + external docs present",17,G17="Confluence / SharePoint / Homegrown — docs status unknown",14,G17="Notion or GitBook — external developer docs present",12,G17="ReadMe — incumbent API docs tool",10,G17="Current tool unknown — research needed",5,TRUE(),0),0)</f>
        <v>0</v>
      </c>
      <c r="V17" s="16" t="n">
        <f aca="false">IFERROR(ifs(H17="New CTO or VP Eng hired in last 90 days",25,H17="AI initiative, internal copilot, or agent product announced",25,H17="Active API launch, developer portal rebuild, or Series B+ funding",20,H17="Hiring for docs, DevRel, or Developer Experience roles (last 60 days)",18,H17="Docs visibly stale vs. GitHub/release cadence",15,H17="Named account — no specific trigger identified yet",8,H17="No trigger — status quo appears comfortable",3,TRUE(),0),0)</f>
        <v>0</v>
      </c>
      <c r="W17" s="16" t="n">
        <f aca="false">IFERROR(ifs(I17="Building AI agents or copilots that query documentation",20,I17="Board-level AI mandate — knowledge infrastructure is a dependency",18,I17="AI/ML company or public AI roadmap announced",16,I17="PLG or SaaS with AI features in development — docs readiness unclear",12,I17="AI-aware but no documentation dependency identified",7,I17="No AI strategy signal",3,TRUE(),0),0)</f>
        <v>0</v>
      </c>
      <c r="X17" s="16" t="n">
        <f aca="false">IFERROR(ifs(J17="Inbound interest + Champion with confirmed EB access",15,J17="Inbound interest + contact identified (champion status unconfirmed)",12,J17="Warm intro or referral available + contact identified",9,J17="Cold outbound — contact identified, no existing relationship",5,J17="Cold outbound — no contact identified yet",2,TRUE(),0),0)</f>
        <v>0</v>
      </c>
    </row>
    <row r="18" customFormat="false" ht="45.75" hidden="false" customHeight="true" outlineLevel="0" collapsed="false">
      <c r="A18" s="12" t="s">
        <v>121</v>
      </c>
      <c r="B18" s="12"/>
      <c r="C18" s="12"/>
      <c r="D18" s="12"/>
      <c r="E18" s="12"/>
      <c r="F18" s="13"/>
      <c r="G18" s="13"/>
      <c r="H18" s="13"/>
      <c r="I18" s="13"/>
      <c r="J18" s="13"/>
      <c r="K18" s="14" t="str">
        <f aca="false">IFERROR(IF(F18="","",T18+U18+V18+W18+X18),"")</f>
        <v/>
      </c>
      <c r="L18" s="15" t="str">
        <f aca="false">IFERROR(IF(K18="","",IF(K18&gt;=80,"🟢 Tier 1",IF(K18&gt;=60,"🟡 Tier 2",IF(K18&gt;=40,"⚪ Tier 3","🔴 Depr.")))),"")</f>
        <v/>
      </c>
      <c r="M18" s="12"/>
      <c r="N18" s="12"/>
      <c r="O18" s="12"/>
      <c r="P18" s="12"/>
      <c r="Q18" s="12"/>
      <c r="R18" s="12"/>
      <c r="S18" s="12"/>
      <c r="T18" s="16" t="n">
        <f aca="false">IFERROR(ifs(F18="AI/ML or FinTech — developer-facing API product",20,F18="Developer Tools / Infrastructure company",17,F18="SaaS or PLG — 500+ engineer org",15,F18="Enterprise Tech — AI mandate, 5,000+ employees",14,F18="General SaaS — some developer-facing components",10,F18="Poor fit — minimal API or engineering exposure",5,TRUE(),0),0)</f>
        <v>0</v>
      </c>
      <c r="U18" s="16" t="n">
        <f aca="false">IFERROR(ifs(G18="Confluence / SharePoint / Homegrown + external docs + visibly stale",20,G18="Confluence / SharePoint / Homegrown + external docs present",17,G18="Confluence / SharePoint / Homegrown — docs status unknown",14,G18="Notion or GitBook — external developer docs present",12,G18="ReadMe — incumbent API docs tool",10,G18="Current tool unknown — research needed",5,TRUE(),0),0)</f>
        <v>0</v>
      </c>
      <c r="V18" s="16" t="n">
        <f aca="false">IFERROR(ifs(H18="New CTO or VP Eng hired in last 90 days",25,H18="AI initiative, internal copilot, or agent product announced",25,H18="Active API launch, developer portal rebuild, or Series B+ funding",20,H18="Hiring for docs, DevRel, or Developer Experience roles (last 60 days)",18,H18="Docs visibly stale vs. GitHub/release cadence",15,H18="Named account — no specific trigger identified yet",8,H18="No trigger — status quo appears comfortable",3,TRUE(),0),0)</f>
        <v>0</v>
      </c>
      <c r="W18" s="16" t="n">
        <f aca="false">IFERROR(ifs(I18="Building AI agents or copilots that query documentation",20,I18="Board-level AI mandate — knowledge infrastructure is a dependency",18,I18="AI/ML company or public AI roadmap announced",16,I18="PLG or SaaS with AI features in development — docs readiness unclear",12,I18="AI-aware but no documentation dependency identified",7,I18="No AI strategy signal",3,TRUE(),0),0)</f>
        <v>0</v>
      </c>
      <c r="X18" s="16" t="n">
        <f aca="false">IFERROR(ifs(J18="Inbound interest + Champion with confirmed EB access",15,J18="Inbound interest + contact identified (champion status unconfirmed)",12,J18="Warm intro or referral available + contact identified",9,J18="Cold outbound — contact identified, no existing relationship",5,J18="Cold outbound — no contact identified yet",2,TRUE(),0),0)</f>
        <v>0</v>
      </c>
    </row>
  </sheetData>
  <mergeCells count="7">
    <mergeCell ref="A1:S1"/>
    <mergeCell ref="A2:S2"/>
    <mergeCell ref="A3:D3"/>
    <mergeCell ref="E3:I3"/>
    <mergeCell ref="J3:M3"/>
    <mergeCell ref="N3:S3"/>
    <mergeCell ref="A4:S4"/>
  </mergeCells>
  <conditionalFormatting sqref="L6:L18">
    <cfRule type="containsText" priority="2" operator="containsText" aboveAverage="0" equalAverage="0" bottom="0" percent="0" rank="0" text="Tier 1" dxfId="0">
      <formula>NOT(ISERROR(SEARCH("Tier 1",L6)))</formula>
    </cfRule>
    <cfRule type="containsText" priority="3" operator="containsText" aboveAverage="0" equalAverage="0" bottom="0" percent="0" rank="0" text="Tier 2" dxfId="1">
      <formula>NOT(ISERROR(SEARCH("Tier 2",L6)))</formula>
    </cfRule>
    <cfRule type="containsText" priority="4" operator="containsText" aboveAverage="0" equalAverage="0" bottom="0" percent="0" rank="0" text="Tier 3" dxfId="2">
      <formula>NOT(ISERROR(SEARCH("Tier 3",L6)))</formula>
    </cfRule>
    <cfRule type="containsText" priority="5" operator="containsText" aboveAverage="0" equalAverage="0" bottom="0" percent="0" rank="0" text="Depr" dxfId="3">
      <formula>NOT(ISERROR(SEARCH("Depr",L6)))</formula>
    </cfRule>
  </conditionalFormatting>
  <conditionalFormatting sqref="K6:K18">
    <cfRule type="colorScale" priority="6">
      <colorScale>
        <cfvo type="num" val="0"/>
        <cfvo type="num" val="60"/>
        <cfvo type="num" val="100"/>
        <color rgb="FFFEE2E2"/>
        <color rgb="FFFEF3C7"/>
        <color rgb="FFD1FAE5"/>
      </colorScale>
    </cfRule>
  </conditionalFormatting>
  <dataValidations count="5">
    <dataValidation allowBlank="true" errorStyle="stop" operator="between" prompt="Pick the option that best describes this account's vertical and product type." promptTitle="Company Fit" showDropDown="false" showErrorMessage="false" showInputMessage="true" sqref="F6:F18" type="list">
      <formula1>_Lookup!$A$2:$A$7</formula1>
      <formula2>0</formula2>
    </dataValidation>
    <dataValidation allowBlank="true" errorStyle="stop" operator="between" prompt="Pick based on what doc tool they're on and whether external docs exist." promptTitle="Doc Pain Signals" showDropDown="false" showErrorMessage="false" showInputMessage="true" sqref="G6:G18" type="list">
      <formula1>_Lookup!$A$10:$A$15</formula1>
      <formula2>0</formula2>
    </dataValidation>
    <dataValidation allowBlank="true" errorStyle="stop" operator="between" prompt="Pick the STRONGEST single trigger present. Check LinkedIn + Crunchbase first." promptTitle="Trigger / Why Now" showDropDown="false" showErrorMessage="false" showInputMessage="true" sqref="H6:H18" type="list">
      <formula1>_Lookup!$A$18:$A$24</formula1>
      <formula2>0</formula2>
    </dataValidation>
    <dataValidation allowBlank="true" errorStyle="stop" operator="between" prompt="Pick based on homepage + job postings research." promptTitle="AI Strategy Risk" showDropDown="false" showErrorMessage="false" showInputMessage="true" sqref="I6:I18" type="list">
      <formula1>_Lookup!$A$27:$A$32</formula1>
      <formula2>0</formula2>
    </dataValidation>
    <dataValidation allowBlank="true" errorStyle="stop" operator="between" prompt="Pick based on CRM check + your network." promptTitle="Access &amp; Deal Dynamics" showDropDown="false" showErrorMessage="false" showInputMessage="true" sqref="J6:J18" type="list">
      <formula1>_Lookup!$A$36:$A$40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2" customFormat="false" ht="15" hidden="false" customHeight="false" outlineLevel="0" collapsed="false">
      <c r="A2" s="0" t="s">
        <v>31</v>
      </c>
      <c r="B2" s="0" t="n">
        <v>20</v>
      </c>
    </row>
    <row r="3" customFormat="false" ht="15" hidden="false" customHeight="false" outlineLevel="0" collapsed="false">
      <c r="A3" s="0" t="s">
        <v>67</v>
      </c>
      <c r="B3" s="0" t="n">
        <v>17</v>
      </c>
    </row>
    <row r="4" customFormat="false" ht="15" hidden="false" customHeight="false" outlineLevel="0" collapsed="false">
      <c r="A4" s="0" t="s">
        <v>109</v>
      </c>
      <c r="B4" s="0" t="n">
        <v>15</v>
      </c>
    </row>
    <row r="5" customFormat="false" ht="15" hidden="false" customHeight="false" outlineLevel="0" collapsed="false">
      <c r="A5" s="0" t="s">
        <v>83</v>
      </c>
      <c r="B5" s="0" t="n">
        <v>14</v>
      </c>
    </row>
    <row r="6" customFormat="false" ht="15" hidden="false" customHeight="false" outlineLevel="0" collapsed="false">
      <c r="A6" s="0" t="s">
        <v>122</v>
      </c>
      <c r="B6" s="0" t="n">
        <v>10</v>
      </c>
    </row>
    <row r="7" customFormat="false" ht="15" hidden="false" customHeight="false" outlineLevel="0" collapsed="false">
      <c r="A7" s="0" t="s">
        <v>123</v>
      </c>
      <c r="B7" s="0" t="n">
        <v>5</v>
      </c>
    </row>
    <row r="10" customFormat="false" ht="15" hidden="false" customHeight="false" outlineLevel="0" collapsed="false">
      <c r="A10" s="0" t="s">
        <v>32</v>
      </c>
      <c r="B10" s="0" t="n">
        <v>20</v>
      </c>
    </row>
    <row r="11" customFormat="false" ht="15" hidden="false" customHeight="false" outlineLevel="0" collapsed="false">
      <c r="A11" s="0" t="s">
        <v>93</v>
      </c>
      <c r="B11" s="0" t="n">
        <v>17</v>
      </c>
    </row>
    <row r="12" customFormat="false" ht="15" hidden="false" customHeight="false" outlineLevel="0" collapsed="false">
      <c r="A12" s="0" t="s">
        <v>84</v>
      </c>
      <c r="B12" s="0" t="n">
        <v>14</v>
      </c>
    </row>
    <row r="13" customFormat="false" ht="15" hidden="false" customHeight="false" outlineLevel="0" collapsed="false">
      <c r="A13" s="0" t="s">
        <v>57</v>
      </c>
      <c r="B13" s="0" t="n">
        <v>12</v>
      </c>
    </row>
    <row r="14" customFormat="false" ht="15" hidden="false" customHeight="false" outlineLevel="0" collapsed="false">
      <c r="A14" s="0" t="s">
        <v>47</v>
      </c>
      <c r="B14" s="0" t="n">
        <v>10</v>
      </c>
    </row>
    <row r="15" customFormat="false" ht="15" hidden="false" customHeight="false" outlineLevel="0" collapsed="false">
      <c r="A15" s="0" t="s">
        <v>124</v>
      </c>
      <c r="B15" s="0" t="n">
        <v>5</v>
      </c>
    </row>
    <row r="18" customFormat="false" ht="15" hidden="false" customHeight="false" outlineLevel="0" collapsed="false">
      <c r="A18" s="0" t="s">
        <v>125</v>
      </c>
      <c r="B18" s="0" t="n">
        <v>25</v>
      </c>
    </row>
    <row r="19" customFormat="false" ht="15" hidden="false" customHeight="false" outlineLevel="0" collapsed="false">
      <c r="A19" s="0" t="s">
        <v>58</v>
      </c>
      <c r="B19" s="0" t="n">
        <v>25</v>
      </c>
    </row>
    <row r="20" customFormat="false" ht="15" hidden="false" customHeight="false" outlineLevel="0" collapsed="false">
      <c r="A20" s="0" t="s">
        <v>33</v>
      </c>
      <c r="B20" s="0" t="n">
        <v>20</v>
      </c>
    </row>
    <row r="21" customFormat="false" ht="15" hidden="false" customHeight="false" outlineLevel="0" collapsed="false">
      <c r="A21" s="0" t="s">
        <v>68</v>
      </c>
      <c r="B21" s="0" t="n">
        <v>18</v>
      </c>
    </row>
    <row r="22" customFormat="false" ht="15" hidden="false" customHeight="false" outlineLevel="0" collapsed="false">
      <c r="A22" s="0" t="s">
        <v>75</v>
      </c>
      <c r="B22" s="0" t="n">
        <v>15</v>
      </c>
    </row>
    <row r="23" customFormat="false" ht="15" hidden="false" customHeight="false" outlineLevel="0" collapsed="false">
      <c r="A23" s="0" t="s">
        <v>126</v>
      </c>
      <c r="B23" s="0" t="n">
        <v>8</v>
      </c>
    </row>
    <row r="24" customFormat="false" ht="15" hidden="false" customHeight="false" outlineLevel="0" collapsed="false">
      <c r="A24" s="0" t="s">
        <v>127</v>
      </c>
      <c r="B24" s="0" t="n">
        <v>3</v>
      </c>
    </row>
    <row r="27" customFormat="false" ht="15" hidden="false" customHeight="false" outlineLevel="0" collapsed="false">
      <c r="A27" s="0" t="s">
        <v>59</v>
      </c>
      <c r="B27" s="0" t="n">
        <v>20</v>
      </c>
    </row>
    <row r="28" customFormat="false" ht="15" hidden="false" customHeight="false" outlineLevel="0" collapsed="false">
      <c r="A28" s="0" t="s">
        <v>34</v>
      </c>
      <c r="B28" s="0" t="n">
        <v>18</v>
      </c>
    </row>
    <row r="29" customFormat="false" ht="15" hidden="false" customHeight="false" outlineLevel="0" collapsed="false">
      <c r="A29" s="0" t="s">
        <v>48</v>
      </c>
      <c r="B29" s="0" t="n">
        <v>16</v>
      </c>
    </row>
    <row r="30" customFormat="false" ht="15" hidden="false" customHeight="false" outlineLevel="0" collapsed="false">
      <c r="A30" s="0" t="s">
        <v>69</v>
      </c>
      <c r="B30" s="0" t="n">
        <v>12</v>
      </c>
    </row>
    <row r="31" customFormat="false" ht="15" hidden="false" customHeight="false" outlineLevel="0" collapsed="false">
      <c r="A31" s="0" t="s">
        <v>128</v>
      </c>
      <c r="B31" s="0" t="n">
        <v>7</v>
      </c>
    </row>
    <row r="32" customFormat="false" ht="15" hidden="false" customHeight="false" outlineLevel="0" collapsed="false">
      <c r="A32" s="0" t="s">
        <v>129</v>
      </c>
      <c r="B32" s="0" t="n">
        <v>3</v>
      </c>
    </row>
    <row r="36" customFormat="false" ht="15" hidden="false" customHeight="false" outlineLevel="0" collapsed="false">
      <c r="A36" s="0" t="s">
        <v>130</v>
      </c>
      <c r="B36" s="0" t="n">
        <v>15</v>
      </c>
    </row>
    <row r="37" customFormat="false" ht="15" hidden="false" customHeight="false" outlineLevel="0" collapsed="false">
      <c r="A37" s="0" t="s">
        <v>131</v>
      </c>
      <c r="B37" s="0" t="n">
        <v>12</v>
      </c>
    </row>
    <row r="38" customFormat="false" ht="15" hidden="false" customHeight="false" outlineLevel="0" collapsed="false">
      <c r="A38" s="0" t="s">
        <v>132</v>
      </c>
      <c r="B38" s="0" t="n">
        <v>9</v>
      </c>
    </row>
    <row r="39" customFormat="false" ht="15" hidden="false" customHeight="false" outlineLevel="0" collapsed="false">
      <c r="A39" s="0" t="s">
        <v>35</v>
      </c>
      <c r="B39" s="0" t="n">
        <v>5</v>
      </c>
    </row>
    <row r="40" customFormat="false" ht="15" hidden="false" customHeight="false" outlineLevel="0" collapsed="false">
      <c r="A40" s="0" t="s">
        <v>116</v>
      </c>
      <c r="B40" s="0"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A623"/>
    <pageSetUpPr fitToPage="false"/>
  </sheetPr>
  <dimension ref="A1:D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2"/>
    <col collapsed="false" customWidth="true" hidden="false" outlineLevel="0" max="3" min="3" style="0" width="18"/>
    <col collapsed="false" customWidth="true" hidden="false" outlineLevel="0" max="4" min="4" style="0" width="44"/>
  </cols>
  <sheetData>
    <row r="1" customFormat="false" ht="37.5" hidden="false" customHeight="true" outlineLevel="0" collapsed="false">
      <c r="A1" s="19" t="s">
        <v>133</v>
      </c>
      <c r="B1" s="19"/>
      <c r="C1" s="19"/>
      <c r="D1" s="19"/>
    </row>
    <row r="2" customFormat="false" ht="27.75" hidden="false" customHeight="true" outlineLevel="0" collapsed="false">
      <c r="A2" s="20" t="s">
        <v>134</v>
      </c>
      <c r="B2" s="20"/>
      <c r="C2" s="20"/>
      <c r="D2" s="20"/>
    </row>
    <row r="3" customFormat="false" ht="30" hidden="false" customHeight="true" outlineLevel="0" collapsed="false">
      <c r="A3" s="21" t="s">
        <v>135</v>
      </c>
      <c r="B3" s="21"/>
      <c r="C3" s="21"/>
      <c r="D3" s="21"/>
    </row>
    <row r="4" customFormat="false" ht="21.75" hidden="false" customHeight="true" outlineLevel="0" collapsed="false">
      <c r="A4" s="22" t="s">
        <v>136</v>
      </c>
      <c r="B4" s="22"/>
      <c r="C4" s="22"/>
      <c r="D4" s="22"/>
    </row>
    <row r="5" customFormat="false" ht="19.5" hidden="false" customHeight="true" outlineLevel="0" collapsed="false">
      <c r="B5" s="23" t="s">
        <v>137</v>
      </c>
      <c r="C5" s="24" t="s">
        <v>138</v>
      </c>
    </row>
    <row r="6" customFormat="false" ht="21.75" hidden="false" customHeight="true" outlineLevel="0" collapsed="false">
      <c r="B6" s="25" t="s">
        <v>139</v>
      </c>
      <c r="C6" s="26" t="n">
        <v>20</v>
      </c>
    </row>
    <row r="7" customFormat="false" ht="21.75" hidden="false" customHeight="true" outlineLevel="0" collapsed="false">
      <c r="B7" s="27" t="s">
        <v>140</v>
      </c>
      <c r="C7" s="26" t="n">
        <v>17</v>
      </c>
    </row>
    <row r="8" customFormat="false" ht="21.75" hidden="false" customHeight="true" outlineLevel="0" collapsed="false">
      <c r="B8" s="25" t="s">
        <v>141</v>
      </c>
      <c r="C8" s="26" t="n">
        <v>15</v>
      </c>
    </row>
    <row r="9" customFormat="false" ht="21.75" hidden="false" customHeight="true" outlineLevel="0" collapsed="false">
      <c r="B9" s="27" t="s">
        <v>142</v>
      </c>
      <c r="C9" s="26" t="n">
        <v>14</v>
      </c>
    </row>
    <row r="10" customFormat="false" ht="21.75" hidden="false" customHeight="true" outlineLevel="0" collapsed="false">
      <c r="B10" s="25" t="s">
        <v>143</v>
      </c>
      <c r="C10" s="26" t="n">
        <v>10</v>
      </c>
    </row>
    <row r="11" customFormat="false" ht="21.75" hidden="false" customHeight="true" outlineLevel="0" collapsed="false">
      <c r="B11" s="27" t="s">
        <v>144</v>
      </c>
      <c r="C11" s="26" t="n">
        <v>5</v>
      </c>
    </row>
    <row r="13" customFormat="false" ht="21.75" hidden="false" customHeight="true" outlineLevel="0" collapsed="false">
      <c r="A13" s="28" t="s">
        <v>145</v>
      </c>
      <c r="B13" s="28"/>
      <c r="C13" s="28"/>
      <c r="D13" s="28"/>
    </row>
    <row r="14" customFormat="false" ht="19.5" hidden="false" customHeight="true" outlineLevel="0" collapsed="false">
      <c r="A14" s="29" t="s">
        <v>146</v>
      </c>
      <c r="B14" s="29" t="s">
        <v>147</v>
      </c>
      <c r="D14" s="29" t="s">
        <v>148</v>
      </c>
    </row>
    <row r="15" customFormat="false" ht="45.75" hidden="false" customHeight="true" outlineLevel="0" collapsed="false">
      <c r="A15" s="30" t="s">
        <v>149</v>
      </c>
      <c r="B15" s="31" t="s">
        <v>150</v>
      </c>
      <c r="D15" s="32" t="s">
        <v>151</v>
      </c>
    </row>
    <row r="16" customFormat="false" ht="45.75" hidden="false" customHeight="true" outlineLevel="0" collapsed="false">
      <c r="A16" s="30" t="s">
        <v>152</v>
      </c>
      <c r="B16" s="33" t="s">
        <v>153</v>
      </c>
      <c r="D16" s="34" t="s">
        <v>154</v>
      </c>
    </row>
    <row r="17" customFormat="false" ht="45.75" hidden="false" customHeight="true" outlineLevel="0" collapsed="false">
      <c r="A17" s="30" t="s">
        <v>155</v>
      </c>
      <c r="B17" s="31" t="s">
        <v>156</v>
      </c>
      <c r="D17" s="32" t="s">
        <v>157</v>
      </c>
    </row>
    <row r="18" customFormat="false" ht="45.75" hidden="false" customHeight="true" outlineLevel="0" collapsed="false">
      <c r="A18" s="30" t="s">
        <v>158</v>
      </c>
      <c r="B18" s="33" t="s">
        <v>159</v>
      </c>
      <c r="D18" s="34" t="s">
        <v>160</v>
      </c>
    </row>
    <row r="21" customFormat="false" ht="30" hidden="false" customHeight="true" outlineLevel="0" collapsed="false">
      <c r="A21" s="21" t="s">
        <v>161</v>
      </c>
      <c r="B21" s="21"/>
      <c r="C21" s="21"/>
      <c r="D21" s="21"/>
    </row>
    <row r="22" customFormat="false" ht="21.75" hidden="false" customHeight="true" outlineLevel="0" collapsed="false">
      <c r="A22" s="22" t="s">
        <v>136</v>
      </c>
      <c r="B22" s="22"/>
      <c r="C22" s="22"/>
      <c r="D22" s="22"/>
    </row>
    <row r="23" customFormat="false" ht="19.5" hidden="false" customHeight="true" outlineLevel="0" collapsed="false">
      <c r="B23" s="23" t="s">
        <v>137</v>
      </c>
      <c r="C23" s="24" t="s">
        <v>138</v>
      </c>
    </row>
    <row r="24" customFormat="false" ht="21.75" hidden="false" customHeight="true" outlineLevel="0" collapsed="false">
      <c r="B24" s="25" t="s">
        <v>162</v>
      </c>
      <c r="C24" s="26" t="n">
        <v>20</v>
      </c>
    </row>
    <row r="25" customFormat="false" ht="21.75" hidden="false" customHeight="true" outlineLevel="0" collapsed="false">
      <c r="B25" s="27" t="s">
        <v>163</v>
      </c>
      <c r="C25" s="26" t="n">
        <v>17</v>
      </c>
    </row>
    <row r="26" customFormat="false" ht="21.75" hidden="false" customHeight="true" outlineLevel="0" collapsed="false">
      <c r="B26" s="25" t="s">
        <v>164</v>
      </c>
      <c r="C26" s="26" t="n">
        <v>14</v>
      </c>
    </row>
    <row r="27" customFormat="false" ht="21.75" hidden="false" customHeight="true" outlineLevel="0" collapsed="false">
      <c r="B27" s="27" t="s">
        <v>165</v>
      </c>
      <c r="C27" s="26" t="n">
        <v>12</v>
      </c>
    </row>
    <row r="28" customFormat="false" ht="21.75" hidden="false" customHeight="true" outlineLevel="0" collapsed="false">
      <c r="B28" s="25" t="s">
        <v>166</v>
      </c>
      <c r="C28" s="26" t="n">
        <v>10</v>
      </c>
    </row>
    <row r="29" customFormat="false" ht="21.75" hidden="false" customHeight="true" outlineLevel="0" collapsed="false">
      <c r="B29" s="27" t="s">
        <v>167</v>
      </c>
      <c r="C29" s="26" t="n">
        <v>5</v>
      </c>
    </row>
    <row r="31" customFormat="false" ht="21.75" hidden="false" customHeight="true" outlineLevel="0" collapsed="false">
      <c r="A31" s="28" t="s">
        <v>145</v>
      </c>
      <c r="B31" s="28"/>
      <c r="C31" s="28"/>
      <c r="D31" s="28"/>
    </row>
    <row r="32" customFormat="false" ht="19.5" hidden="false" customHeight="true" outlineLevel="0" collapsed="false">
      <c r="A32" s="29" t="s">
        <v>146</v>
      </c>
      <c r="B32" s="29" t="s">
        <v>147</v>
      </c>
      <c r="D32" s="29" t="s">
        <v>148</v>
      </c>
    </row>
    <row r="33" customFormat="false" ht="45.75" hidden="false" customHeight="true" outlineLevel="0" collapsed="false">
      <c r="A33" s="30" t="s">
        <v>149</v>
      </c>
      <c r="B33" s="31" t="s">
        <v>168</v>
      </c>
      <c r="D33" s="32" t="s">
        <v>169</v>
      </c>
    </row>
    <row r="34" customFormat="false" ht="45.75" hidden="false" customHeight="true" outlineLevel="0" collapsed="false">
      <c r="A34" s="30" t="s">
        <v>152</v>
      </c>
      <c r="B34" s="33" t="s">
        <v>170</v>
      </c>
      <c r="D34" s="34" t="s">
        <v>171</v>
      </c>
    </row>
    <row r="35" customFormat="false" ht="45.75" hidden="false" customHeight="true" outlineLevel="0" collapsed="false">
      <c r="A35" s="30" t="s">
        <v>155</v>
      </c>
      <c r="B35" s="31" t="s">
        <v>172</v>
      </c>
      <c r="D35" s="32" t="s">
        <v>173</v>
      </c>
    </row>
    <row r="36" customFormat="false" ht="45.75" hidden="false" customHeight="true" outlineLevel="0" collapsed="false">
      <c r="A36" s="30" t="s">
        <v>158</v>
      </c>
      <c r="B36" s="33" t="s">
        <v>174</v>
      </c>
      <c r="D36" s="34" t="s">
        <v>175</v>
      </c>
    </row>
    <row r="39" customFormat="false" ht="30" hidden="false" customHeight="true" outlineLevel="0" collapsed="false">
      <c r="A39" s="21" t="s">
        <v>176</v>
      </c>
      <c r="B39" s="21"/>
      <c r="C39" s="21"/>
      <c r="D39" s="21"/>
    </row>
    <row r="40" customFormat="false" ht="21.75" hidden="false" customHeight="true" outlineLevel="0" collapsed="false">
      <c r="A40" s="22" t="s">
        <v>136</v>
      </c>
      <c r="B40" s="22"/>
      <c r="C40" s="22"/>
      <c r="D40" s="22"/>
    </row>
    <row r="41" customFormat="false" ht="19.5" hidden="false" customHeight="true" outlineLevel="0" collapsed="false">
      <c r="B41" s="23" t="s">
        <v>137</v>
      </c>
      <c r="C41" s="24" t="s">
        <v>138</v>
      </c>
    </row>
    <row r="42" customFormat="false" ht="21.75" hidden="false" customHeight="true" outlineLevel="0" collapsed="false">
      <c r="B42" s="25" t="s">
        <v>177</v>
      </c>
      <c r="C42" s="26" t="n">
        <v>25</v>
      </c>
    </row>
    <row r="43" customFormat="false" ht="21.75" hidden="false" customHeight="true" outlineLevel="0" collapsed="false">
      <c r="B43" s="27" t="s">
        <v>178</v>
      </c>
      <c r="C43" s="26" t="n">
        <v>25</v>
      </c>
    </row>
    <row r="44" customFormat="false" ht="21.75" hidden="false" customHeight="true" outlineLevel="0" collapsed="false">
      <c r="B44" s="25" t="s">
        <v>179</v>
      </c>
      <c r="C44" s="26" t="n">
        <v>20</v>
      </c>
    </row>
    <row r="45" customFormat="false" ht="21.75" hidden="false" customHeight="true" outlineLevel="0" collapsed="false">
      <c r="B45" s="27" t="s">
        <v>180</v>
      </c>
      <c r="C45" s="26" t="n">
        <v>18</v>
      </c>
    </row>
    <row r="46" customFormat="false" ht="21.75" hidden="false" customHeight="true" outlineLevel="0" collapsed="false">
      <c r="B46" s="25" t="s">
        <v>181</v>
      </c>
      <c r="C46" s="26" t="n">
        <v>15</v>
      </c>
    </row>
    <row r="47" customFormat="false" ht="21.75" hidden="false" customHeight="true" outlineLevel="0" collapsed="false">
      <c r="B47" s="27" t="s">
        <v>182</v>
      </c>
      <c r="C47" s="26" t="n">
        <v>8</v>
      </c>
    </row>
    <row r="48" customFormat="false" ht="21.75" hidden="false" customHeight="true" outlineLevel="0" collapsed="false">
      <c r="B48" s="25" t="s">
        <v>183</v>
      </c>
      <c r="C48" s="26" t="n">
        <v>3</v>
      </c>
    </row>
    <row r="50" customFormat="false" ht="21.75" hidden="false" customHeight="true" outlineLevel="0" collapsed="false">
      <c r="A50" s="28" t="s">
        <v>145</v>
      </c>
      <c r="B50" s="28"/>
      <c r="C50" s="28"/>
      <c r="D50" s="28"/>
    </row>
    <row r="51" customFormat="false" ht="19.5" hidden="false" customHeight="true" outlineLevel="0" collapsed="false">
      <c r="A51" s="29" t="s">
        <v>146</v>
      </c>
      <c r="B51" s="29" t="s">
        <v>147</v>
      </c>
      <c r="D51" s="29" t="s">
        <v>148</v>
      </c>
    </row>
    <row r="52" customFormat="false" ht="45.75" hidden="false" customHeight="true" outlineLevel="0" collapsed="false">
      <c r="A52" s="30" t="s">
        <v>149</v>
      </c>
      <c r="B52" s="31" t="s">
        <v>184</v>
      </c>
      <c r="D52" s="32" t="s">
        <v>185</v>
      </c>
    </row>
    <row r="53" customFormat="false" ht="45.75" hidden="false" customHeight="true" outlineLevel="0" collapsed="false">
      <c r="A53" s="30" t="s">
        <v>152</v>
      </c>
      <c r="B53" s="33" t="s">
        <v>186</v>
      </c>
      <c r="D53" s="34" t="s">
        <v>187</v>
      </c>
    </row>
    <row r="54" customFormat="false" ht="45.75" hidden="false" customHeight="true" outlineLevel="0" collapsed="false">
      <c r="A54" s="30" t="s">
        <v>155</v>
      </c>
      <c r="B54" s="31" t="s">
        <v>188</v>
      </c>
      <c r="D54" s="32" t="s">
        <v>189</v>
      </c>
    </row>
    <row r="55" customFormat="false" ht="45.75" hidden="false" customHeight="true" outlineLevel="0" collapsed="false">
      <c r="A55" s="30" t="s">
        <v>158</v>
      </c>
      <c r="B55" s="33" t="s">
        <v>190</v>
      </c>
      <c r="D55" s="34" t="s">
        <v>191</v>
      </c>
    </row>
    <row r="56" customFormat="false" ht="45.75" hidden="false" customHeight="true" outlineLevel="0" collapsed="false">
      <c r="A56" s="30" t="s">
        <v>192</v>
      </c>
      <c r="B56" s="31" t="s">
        <v>193</v>
      </c>
      <c r="D56" s="32" t="s">
        <v>194</v>
      </c>
    </row>
    <row r="59" customFormat="false" ht="30" hidden="false" customHeight="true" outlineLevel="0" collapsed="false">
      <c r="A59" s="21" t="s">
        <v>195</v>
      </c>
      <c r="B59" s="21"/>
      <c r="C59" s="21"/>
      <c r="D59" s="21"/>
    </row>
    <row r="60" customFormat="false" ht="21.75" hidden="false" customHeight="true" outlineLevel="0" collapsed="false">
      <c r="A60" s="22" t="s">
        <v>136</v>
      </c>
      <c r="B60" s="22"/>
      <c r="C60" s="22"/>
      <c r="D60" s="22"/>
    </row>
    <row r="61" customFormat="false" ht="19.5" hidden="false" customHeight="true" outlineLevel="0" collapsed="false">
      <c r="B61" s="23" t="s">
        <v>137</v>
      </c>
      <c r="C61" s="24" t="s">
        <v>138</v>
      </c>
    </row>
    <row r="62" customFormat="false" ht="21.75" hidden="false" customHeight="true" outlineLevel="0" collapsed="false">
      <c r="B62" s="25" t="s">
        <v>196</v>
      </c>
      <c r="C62" s="26" t="n">
        <v>20</v>
      </c>
    </row>
    <row r="63" customFormat="false" ht="21.75" hidden="false" customHeight="true" outlineLevel="0" collapsed="false">
      <c r="B63" s="27" t="s">
        <v>197</v>
      </c>
      <c r="C63" s="26" t="n">
        <v>18</v>
      </c>
    </row>
    <row r="64" customFormat="false" ht="21.75" hidden="false" customHeight="true" outlineLevel="0" collapsed="false">
      <c r="B64" s="25" t="s">
        <v>198</v>
      </c>
      <c r="C64" s="26" t="n">
        <v>16</v>
      </c>
    </row>
    <row r="65" customFormat="false" ht="21.75" hidden="false" customHeight="true" outlineLevel="0" collapsed="false">
      <c r="B65" s="27" t="s">
        <v>199</v>
      </c>
      <c r="C65" s="26" t="n">
        <v>12</v>
      </c>
    </row>
    <row r="66" customFormat="false" ht="21.75" hidden="false" customHeight="true" outlineLevel="0" collapsed="false">
      <c r="B66" s="25" t="s">
        <v>200</v>
      </c>
      <c r="C66" s="26" t="n">
        <v>7</v>
      </c>
    </row>
    <row r="67" customFormat="false" ht="21.75" hidden="false" customHeight="true" outlineLevel="0" collapsed="false">
      <c r="B67" s="27" t="s">
        <v>201</v>
      </c>
      <c r="C67" s="26" t="n">
        <v>3</v>
      </c>
    </row>
    <row r="69" customFormat="false" ht="21.75" hidden="false" customHeight="true" outlineLevel="0" collapsed="false">
      <c r="A69" s="28" t="s">
        <v>145</v>
      </c>
      <c r="B69" s="28"/>
      <c r="C69" s="28"/>
      <c r="D69" s="28"/>
    </row>
    <row r="70" customFormat="false" ht="19.5" hidden="false" customHeight="true" outlineLevel="0" collapsed="false">
      <c r="A70" s="29" t="s">
        <v>146</v>
      </c>
      <c r="B70" s="29" t="s">
        <v>147</v>
      </c>
      <c r="D70" s="29" t="s">
        <v>148</v>
      </c>
    </row>
    <row r="71" customFormat="false" ht="45.75" hidden="false" customHeight="true" outlineLevel="0" collapsed="false">
      <c r="A71" s="30" t="s">
        <v>149</v>
      </c>
      <c r="B71" s="31" t="s">
        <v>202</v>
      </c>
      <c r="D71" s="32" t="s">
        <v>203</v>
      </c>
    </row>
    <row r="72" customFormat="false" ht="45.75" hidden="false" customHeight="true" outlineLevel="0" collapsed="false">
      <c r="A72" s="30" t="s">
        <v>152</v>
      </c>
      <c r="B72" s="33" t="s">
        <v>204</v>
      </c>
      <c r="D72" s="34" t="s">
        <v>205</v>
      </c>
    </row>
    <row r="73" customFormat="false" ht="45.75" hidden="false" customHeight="true" outlineLevel="0" collapsed="false">
      <c r="A73" s="30" t="s">
        <v>155</v>
      </c>
      <c r="B73" s="31" t="s">
        <v>206</v>
      </c>
      <c r="D73" s="32" t="s">
        <v>207</v>
      </c>
    </row>
    <row r="74" customFormat="false" ht="45.75" hidden="false" customHeight="true" outlineLevel="0" collapsed="false">
      <c r="A74" s="30" t="s">
        <v>158</v>
      </c>
      <c r="B74" s="33" t="s">
        <v>208</v>
      </c>
      <c r="D74" s="34" t="s">
        <v>209</v>
      </c>
    </row>
    <row r="77" customFormat="false" ht="30" hidden="false" customHeight="true" outlineLevel="0" collapsed="false">
      <c r="A77" s="21" t="s">
        <v>210</v>
      </c>
      <c r="B77" s="21"/>
      <c r="C77" s="21"/>
      <c r="D77" s="21"/>
    </row>
    <row r="78" customFormat="false" ht="21.75" hidden="false" customHeight="true" outlineLevel="0" collapsed="false">
      <c r="A78" s="22" t="s">
        <v>136</v>
      </c>
      <c r="B78" s="22"/>
      <c r="C78" s="22"/>
      <c r="D78" s="22"/>
    </row>
    <row r="79" customFormat="false" ht="19.5" hidden="false" customHeight="true" outlineLevel="0" collapsed="false">
      <c r="B79" s="23" t="s">
        <v>137</v>
      </c>
      <c r="C79" s="24" t="s">
        <v>138</v>
      </c>
    </row>
    <row r="80" customFormat="false" ht="21.75" hidden="false" customHeight="true" outlineLevel="0" collapsed="false">
      <c r="B80" s="25" t="s">
        <v>211</v>
      </c>
      <c r="C80" s="26" t="n">
        <v>15</v>
      </c>
    </row>
    <row r="81" customFormat="false" ht="21.75" hidden="false" customHeight="true" outlineLevel="0" collapsed="false">
      <c r="B81" s="27" t="s">
        <v>212</v>
      </c>
      <c r="C81" s="26" t="n">
        <v>12</v>
      </c>
    </row>
    <row r="82" customFormat="false" ht="21.75" hidden="false" customHeight="true" outlineLevel="0" collapsed="false">
      <c r="B82" s="25" t="s">
        <v>213</v>
      </c>
      <c r="C82" s="26" t="n">
        <v>9</v>
      </c>
    </row>
    <row r="83" customFormat="false" ht="21.75" hidden="false" customHeight="true" outlineLevel="0" collapsed="false">
      <c r="B83" s="27" t="s">
        <v>214</v>
      </c>
      <c r="C83" s="26" t="n">
        <v>5</v>
      </c>
    </row>
    <row r="84" customFormat="false" ht="21.75" hidden="false" customHeight="true" outlineLevel="0" collapsed="false">
      <c r="B84" s="25" t="s">
        <v>215</v>
      </c>
      <c r="C84" s="26" t="n">
        <v>2</v>
      </c>
    </row>
    <row r="86" customFormat="false" ht="21.75" hidden="false" customHeight="true" outlineLevel="0" collapsed="false">
      <c r="A86" s="28" t="s">
        <v>145</v>
      </c>
      <c r="B86" s="28"/>
      <c r="C86" s="28"/>
      <c r="D86" s="28"/>
    </row>
    <row r="87" customFormat="false" ht="19.5" hidden="false" customHeight="true" outlineLevel="0" collapsed="false">
      <c r="A87" s="29" t="s">
        <v>146</v>
      </c>
      <c r="B87" s="29" t="s">
        <v>147</v>
      </c>
      <c r="D87" s="29" t="s">
        <v>148</v>
      </c>
    </row>
    <row r="88" customFormat="false" ht="45.75" hidden="false" customHeight="true" outlineLevel="0" collapsed="false">
      <c r="A88" s="30" t="s">
        <v>149</v>
      </c>
      <c r="B88" s="31" t="s">
        <v>216</v>
      </c>
      <c r="D88" s="32" t="s">
        <v>217</v>
      </c>
    </row>
    <row r="89" customFormat="false" ht="45.75" hidden="false" customHeight="true" outlineLevel="0" collapsed="false">
      <c r="A89" s="30" t="s">
        <v>152</v>
      </c>
      <c r="B89" s="33" t="s">
        <v>218</v>
      </c>
      <c r="D89" s="34" t="s">
        <v>219</v>
      </c>
    </row>
    <row r="90" customFormat="false" ht="45.75" hidden="false" customHeight="true" outlineLevel="0" collapsed="false">
      <c r="A90" s="30" t="s">
        <v>155</v>
      </c>
      <c r="B90" s="31" t="s">
        <v>220</v>
      </c>
      <c r="D90" s="32" t="s">
        <v>221</v>
      </c>
    </row>
    <row r="91" customFormat="false" ht="45.75" hidden="false" customHeight="true" outlineLevel="0" collapsed="false">
      <c r="A91" s="30" t="s">
        <v>158</v>
      </c>
      <c r="B91" s="33" t="s">
        <v>222</v>
      </c>
      <c r="D91" s="34" t="s">
        <v>223</v>
      </c>
    </row>
    <row r="94" customFormat="false" ht="43.5" hidden="false" customHeight="true" outlineLevel="0" collapsed="false">
      <c r="A94" s="35" t="s">
        <v>224</v>
      </c>
      <c r="B94" s="35"/>
      <c r="C94" s="35"/>
      <c r="D94" s="35"/>
    </row>
  </sheetData>
  <mergeCells count="18">
    <mergeCell ref="A1:D1"/>
    <mergeCell ref="A2:D2"/>
    <mergeCell ref="A3:D3"/>
    <mergeCell ref="A4:D4"/>
    <mergeCell ref="A13:D13"/>
    <mergeCell ref="A21:D21"/>
    <mergeCell ref="A22:D22"/>
    <mergeCell ref="A31:D31"/>
    <mergeCell ref="A39:D39"/>
    <mergeCell ref="A40:D40"/>
    <mergeCell ref="A50:D50"/>
    <mergeCell ref="A59:D59"/>
    <mergeCell ref="A60:D60"/>
    <mergeCell ref="A69:D69"/>
    <mergeCell ref="A77:D77"/>
    <mergeCell ref="A78:D78"/>
    <mergeCell ref="A86:D86"/>
    <mergeCell ref="A94:D9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1F3D"/>
    <pageSetUpPr fitToPage="fals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0"/>
    <col collapsed="false" customWidth="true" hidden="false" outlineLevel="0" max="3" min="3" style="0" width="42"/>
  </cols>
  <sheetData>
    <row r="1" customFormat="false" ht="37.5" hidden="false" customHeight="true" outlineLevel="0" collapsed="false">
      <c r="A1" s="19" t="s">
        <v>225</v>
      </c>
      <c r="B1" s="19"/>
      <c r="C1" s="19"/>
    </row>
    <row r="2" customFormat="false" ht="25.5" hidden="false" customHeight="true" outlineLevel="0" collapsed="false">
      <c r="A2" s="2" t="s">
        <v>226</v>
      </c>
      <c r="B2" s="2"/>
      <c r="C2" s="2"/>
    </row>
    <row r="3" customFormat="false" ht="30" hidden="false" customHeight="true" outlineLevel="0" collapsed="false">
      <c r="A3" s="36" t="s">
        <v>227</v>
      </c>
      <c r="B3" s="37" t="s">
        <v>228</v>
      </c>
      <c r="C3" s="38" t="s">
        <v>229</v>
      </c>
    </row>
    <row r="4" customFormat="false" ht="87.75" hidden="false" customHeight="true" outlineLevel="0" collapsed="false">
      <c r="A4" s="39" t="s">
        <v>230</v>
      </c>
      <c r="B4" s="40" t="s">
        <v>231</v>
      </c>
      <c r="C4" s="32" t="s">
        <v>232</v>
      </c>
    </row>
    <row r="5" customFormat="false" ht="87.75" hidden="false" customHeight="true" outlineLevel="0" collapsed="false">
      <c r="A5" s="39" t="s">
        <v>233</v>
      </c>
      <c r="B5" s="41" t="s">
        <v>234</v>
      </c>
      <c r="C5" s="34" t="s">
        <v>235</v>
      </c>
    </row>
    <row r="6" customFormat="false" ht="87.75" hidden="false" customHeight="true" outlineLevel="0" collapsed="false">
      <c r="A6" s="42" t="s">
        <v>236</v>
      </c>
      <c r="B6" s="40" t="s">
        <v>237</v>
      </c>
      <c r="C6" s="32" t="s">
        <v>238</v>
      </c>
    </row>
    <row r="7" customFormat="false" ht="87.75" hidden="false" customHeight="true" outlineLevel="0" collapsed="false">
      <c r="A7" s="39" t="s">
        <v>239</v>
      </c>
      <c r="B7" s="41" t="s">
        <v>240</v>
      </c>
      <c r="C7" s="34" t="s">
        <v>241</v>
      </c>
    </row>
    <row r="8" customFormat="false" ht="87.75" hidden="false" customHeight="true" outlineLevel="0" collapsed="false">
      <c r="A8" s="39" t="s">
        <v>242</v>
      </c>
      <c r="B8" s="40" t="s">
        <v>243</v>
      </c>
      <c r="C8" s="32" t="s">
        <v>244</v>
      </c>
    </row>
    <row r="9" customFormat="false" ht="87.75" hidden="false" customHeight="true" outlineLevel="0" collapsed="false">
      <c r="A9" s="43" t="s">
        <v>245</v>
      </c>
      <c r="B9" s="41" t="s">
        <v>246</v>
      </c>
      <c r="C9" s="34" t="s">
        <v>247</v>
      </c>
    </row>
    <row r="10" customFormat="false" ht="87.75" hidden="false" customHeight="true" outlineLevel="0" collapsed="false">
      <c r="A10" s="42" t="s">
        <v>248</v>
      </c>
      <c r="B10" s="40" t="s">
        <v>249</v>
      </c>
      <c r="C10" s="32" t="s">
        <v>250</v>
      </c>
    </row>
    <row r="11" customFormat="false" ht="87.75" hidden="false" customHeight="true" outlineLevel="0" collapsed="false">
      <c r="A11" s="43" t="s">
        <v>251</v>
      </c>
      <c r="B11" s="41" t="s">
        <v>252</v>
      </c>
      <c r="C11" s="34" t="s">
        <v>253</v>
      </c>
    </row>
    <row r="12" customFormat="false" ht="87.75" hidden="false" customHeight="true" outlineLevel="0" collapsed="false">
      <c r="A12" s="42" t="s">
        <v>254</v>
      </c>
      <c r="B12" s="40" t="s">
        <v>255</v>
      </c>
      <c r="C12" s="32" t="s">
        <v>256</v>
      </c>
    </row>
    <row r="13" customFormat="false" ht="43.5" hidden="false" customHeight="true" outlineLevel="0" collapsed="false">
      <c r="A13" s="44" t="s">
        <v>257</v>
      </c>
      <c r="B13" s="44"/>
      <c r="C13" s="44"/>
    </row>
  </sheetData>
  <mergeCells count="3">
    <mergeCell ref="A1:C1"/>
    <mergeCell ref="A2:C2"/>
    <mergeCell ref="A13:C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2026-05-05T15:44:20Z</dcterms:created>
  <dc:creator>openpyxl</dc:creator>
  <dc:description/>
  <dc:language>en-US</dc:language>
  <cp:lastModifiedBy/>
  <dcterms:modified xsi:type="dcterms:W3CDTF">2026-05-05T15:44:20Z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